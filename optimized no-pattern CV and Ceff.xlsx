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91615\Desktop\capillary porous structure\"/>
    </mc:Choice>
  </mc:AlternateContent>
  <xr:revisionPtr revIDLastSave="0" documentId="13_ncr:1_{3520FF2B-C3E3-44C3-BEB9-7DF58624C4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7" i="1" l="1"/>
  <c r="G115" i="1"/>
  <c r="F115" i="1"/>
  <c r="D115" i="1"/>
  <c r="E115" i="1"/>
  <c r="C115" i="1"/>
  <c r="G114" i="1"/>
  <c r="F114" i="1"/>
  <c r="D114" i="1"/>
  <c r="E114" i="1"/>
  <c r="C114" i="1"/>
  <c r="G113" i="1"/>
  <c r="F113" i="1"/>
  <c r="D113" i="1"/>
  <c r="E113" i="1"/>
  <c r="C113" i="1"/>
  <c r="G112" i="1"/>
  <c r="F112" i="1"/>
  <c r="D112" i="1"/>
  <c r="E112" i="1"/>
  <c r="C112" i="1"/>
  <c r="M103" i="1"/>
  <c r="M104" i="1"/>
  <c r="M105" i="1"/>
  <c r="M102" i="1"/>
  <c r="L103" i="1"/>
  <c r="L104" i="1"/>
  <c r="L105" i="1"/>
  <c r="L102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G105" i="1"/>
  <c r="F105" i="1"/>
  <c r="G103" i="1"/>
  <c r="G104" i="1"/>
  <c r="G102" i="1"/>
  <c r="F103" i="1"/>
  <c r="F104" i="1"/>
  <c r="F102" i="1"/>
  <c r="F59" i="1"/>
  <c r="F87" i="1"/>
  <c r="E92" i="1"/>
  <c r="F96" i="1" s="1"/>
  <c r="E93" i="1"/>
  <c r="E94" i="1"/>
  <c r="E95" i="1"/>
  <c r="E91" i="1"/>
  <c r="E83" i="1"/>
  <c r="E84" i="1"/>
  <c r="E85" i="1"/>
  <c r="E87" i="1" s="1"/>
  <c r="E86" i="1"/>
  <c r="E82" i="1"/>
  <c r="F79" i="1"/>
  <c r="E79" i="1"/>
  <c r="E75" i="1"/>
  <c r="E76" i="1"/>
  <c r="E77" i="1"/>
  <c r="E78" i="1"/>
  <c r="E74" i="1"/>
  <c r="F69" i="1"/>
  <c r="E69" i="1"/>
  <c r="E65" i="1"/>
  <c r="E66" i="1"/>
  <c r="E67" i="1"/>
  <c r="E68" i="1"/>
  <c r="E64" i="1"/>
  <c r="E59" i="1"/>
  <c r="E58" i="1"/>
  <c r="E55" i="1"/>
  <c r="E56" i="1"/>
  <c r="E57" i="1"/>
  <c r="E54" i="1"/>
  <c r="F52" i="1"/>
  <c r="E52" i="1"/>
  <c r="E49" i="1"/>
  <c r="E50" i="1"/>
  <c r="E51" i="1"/>
  <c r="C51" i="1"/>
  <c r="E48" i="1"/>
  <c r="E47" i="1"/>
  <c r="E42" i="1"/>
  <c r="E43" i="1"/>
  <c r="E45" i="1" s="1"/>
  <c r="E44" i="1"/>
  <c r="E41" i="1"/>
  <c r="E40" i="1"/>
  <c r="F38" i="1"/>
  <c r="E38" i="1"/>
  <c r="E37" i="1"/>
  <c r="E36" i="1"/>
  <c r="E35" i="1"/>
  <c r="E34" i="1"/>
  <c r="E33" i="1"/>
  <c r="C33" i="1"/>
  <c r="C34" i="1"/>
  <c r="C35" i="1"/>
  <c r="C36" i="1"/>
  <c r="C37" i="1"/>
  <c r="C40" i="1"/>
  <c r="C41" i="1"/>
  <c r="C42" i="1"/>
  <c r="C43" i="1"/>
  <c r="C44" i="1"/>
  <c r="C47" i="1"/>
  <c r="C48" i="1"/>
  <c r="C49" i="1"/>
  <c r="C50" i="1"/>
  <c r="E29" i="1"/>
  <c r="E31" i="1"/>
  <c r="C31" i="1"/>
  <c r="E30" i="1"/>
  <c r="C30" i="1"/>
  <c r="C29" i="1"/>
  <c r="E28" i="1"/>
  <c r="C28" i="1"/>
  <c r="E27" i="1"/>
  <c r="C27" i="1"/>
  <c r="E7" i="1"/>
  <c r="E8" i="1"/>
  <c r="E16" i="1"/>
  <c r="E17" i="1"/>
  <c r="E18" i="1"/>
  <c r="E19" i="1"/>
  <c r="E20" i="1"/>
  <c r="E21" i="1"/>
  <c r="E22" i="1"/>
  <c r="E23" i="1"/>
  <c r="E24" i="1"/>
  <c r="B8" i="1"/>
  <c r="D8" i="1"/>
  <c r="D7" i="1"/>
  <c r="C8" i="1"/>
  <c r="C7" i="1"/>
  <c r="B9" i="1"/>
  <c r="E96" i="1" l="1"/>
  <c r="F45" i="1"/>
  <c r="F32" i="1"/>
  <c r="E32" i="1"/>
</calcChain>
</file>

<file path=xl/sharedStrings.xml><?xml version="1.0" encoding="utf-8"?>
<sst xmlns="http://schemas.openxmlformats.org/spreadsheetml/2006/main" count="32" uniqueCount="23">
  <si>
    <t>stripe</t>
    <phoneticPr fontId="2" type="noConversion"/>
  </si>
  <si>
    <t>no-pattern</t>
    <phoneticPr fontId="2" type="noConversion"/>
  </si>
  <si>
    <t>stripe-no-shift</t>
    <phoneticPr fontId="2" type="noConversion"/>
  </si>
  <si>
    <t>no-pattern-177-h3</t>
    <phoneticPr fontId="2" type="noConversion"/>
  </si>
  <si>
    <r>
      <t>69.01892</t>
    </r>
    <r>
      <rPr>
        <sz val="11"/>
        <color theme="1"/>
        <rFont val="等线"/>
        <family val="2"/>
        <charset val="134"/>
      </rPr>
      <t>±11.5829</t>
    </r>
    <phoneticPr fontId="2" type="noConversion"/>
  </si>
  <si>
    <r>
      <rPr>
        <sz val="11"/>
        <color theme="1"/>
        <rFont val="等线"/>
        <family val="3"/>
        <charset val="134"/>
        <scheme val="minor"/>
      </rPr>
      <t>85.703</t>
    </r>
    <r>
      <rPr>
        <sz val="11"/>
        <color theme="1"/>
        <rFont val="等线"/>
        <family val="3"/>
        <charset val="134"/>
      </rPr>
      <t>±9.4851</t>
    </r>
    <phoneticPr fontId="2" type="noConversion"/>
  </si>
  <si>
    <r>
      <t>68.3620465116279</t>
    </r>
    <r>
      <rPr>
        <sz val="11"/>
        <color theme="1"/>
        <rFont val="等线"/>
        <family val="2"/>
        <charset val="134"/>
      </rPr>
      <t>±</t>
    </r>
    <r>
      <rPr>
        <sz val="11"/>
        <color theme="1"/>
        <rFont val="等线"/>
        <family val="2"/>
        <scheme val="minor"/>
      </rPr>
      <t>869</t>
    </r>
    <phoneticPr fontId="2" type="noConversion"/>
  </si>
  <si>
    <t>77.9329047619048±10.95648</t>
    <phoneticPr fontId="2" type="noConversion"/>
  </si>
  <si>
    <t>153-h1</t>
  </si>
  <si>
    <t>153-h2</t>
  </si>
  <si>
    <t>153-h3</t>
  </si>
  <si>
    <t>165-h1</t>
  </si>
  <si>
    <t>165-h2</t>
  </si>
  <si>
    <t>165-h3</t>
  </si>
  <si>
    <t>177-h1</t>
  </si>
  <si>
    <t>177-h2</t>
  </si>
  <si>
    <t>177-h3</t>
  </si>
  <si>
    <t>slice open-region</t>
    <phoneticPr fontId="2" type="noConversion"/>
  </si>
  <si>
    <t>width</t>
    <phoneticPr fontId="2" type="noConversion"/>
  </si>
  <si>
    <t>CV</t>
    <phoneticPr fontId="2" type="noConversion"/>
  </si>
  <si>
    <t>Ceff</t>
    <phoneticPr fontId="2" type="noConversion"/>
  </si>
  <si>
    <t>total length</t>
    <phoneticPr fontId="2" type="noConversion"/>
  </si>
  <si>
    <t>total length：2280um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</si>
</sst>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.000_ ;_ * \-#,##0.000_ ;_ * &quot;-&quot;??_ ;_ @_ "/>
    <numFmt numFmtId="177" formatCode="0.0000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12"/>
      <color theme="1"/>
      <name val="宋体"/>
      <family val="3"/>
      <charset val="134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3" fillId="2" borderId="0" xfId="0" applyFont="1" applyFill="1"/>
    <xf numFmtId="2" fontId="0" fillId="0" borderId="0" xfId="0" applyNumberFormat="1"/>
    <xf numFmtId="176" fontId="0" fillId="0" borderId="0" xfId="1" applyNumberFormat="1" applyFont="1" applyAlignme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7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54"/>
  <sheetViews>
    <sheetView tabSelected="1" topLeftCell="A67" zoomScale="70" zoomScaleNormal="70" workbookViewId="0">
      <selection activeCell="E109" sqref="E109"/>
    </sheetView>
  </sheetViews>
  <sheetFormatPr defaultRowHeight="14" x14ac:dyDescent="0.3"/>
  <cols>
    <col min="1" max="2" width="13.5" bestFit="1" customWidth="1"/>
    <col min="3" max="3" width="16.75" bestFit="1" customWidth="1"/>
    <col min="4" max="4" width="21.6640625" bestFit="1" customWidth="1"/>
    <col min="5" max="5" width="10.25" customWidth="1"/>
    <col min="7" max="7" width="8.6640625" customWidth="1"/>
    <col min="15" max="15" width="12.75" bestFit="1" customWidth="1"/>
    <col min="16" max="16" width="8.58203125" customWidth="1"/>
  </cols>
  <sheetData>
    <row r="1" spans="1:16" x14ac:dyDescent="0.3">
      <c r="B1" t="s">
        <v>0</v>
      </c>
      <c r="C1" t="s">
        <v>2</v>
      </c>
      <c r="D1" t="s">
        <v>1</v>
      </c>
      <c r="E1" t="s">
        <v>3</v>
      </c>
      <c r="P1" s="1"/>
    </row>
    <row r="2" spans="1:16" ht="14.5" thickBot="1" x14ac:dyDescent="0.35">
      <c r="A2" t="s">
        <v>17</v>
      </c>
      <c r="B2">
        <v>82.656584529548994</v>
      </c>
      <c r="C2">
        <v>79.662310000000005</v>
      </c>
      <c r="D2">
        <v>71.988241379841568</v>
      </c>
      <c r="E2">
        <v>78.759461954287488</v>
      </c>
    </row>
    <row r="3" spans="1:16" ht="15" thickTop="1" thickBot="1" x14ac:dyDescent="0.35">
      <c r="B3">
        <v>83.714273105305594</v>
      </c>
      <c r="C3">
        <v>74.926185592833107</v>
      </c>
      <c r="D3">
        <v>68.458161217522132</v>
      </c>
      <c r="E3">
        <v>75.673434368351451</v>
      </c>
      <c r="K3" s="8"/>
      <c r="L3" s="8"/>
      <c r="M3" s="8"/>
      <c r="N3" s="8"/>
      <c r="O3" s="13"/>
    </row>
    <row r="4" spans="1:16" x14ac:dyDescent="0.3">
      <c r="B4">
        <v>80.180249333747497</v>
      </c>
      <c r="C4">
        <v>75.713408394522503</v>
      </c>
      <c r="D4">
        <v>62.188151204473108</v>
      </c>
      <c r="E4">
        <v>76.13201114388653</v>
      </c>
      <c r="K4" s="9"/>
      <c r="L4" s="9"/>
      <c r="M4" s="9"/>
      <c r="N4" s="9"/>
      <c r="O4" s="13"/>
    </row>
    <row r="5" spans="1:16" x14ac:dyDescent="0.3">
      <c r="A5" s="1"/>
      <c r="B5">
        <v>79.0853784650309</v>
      </c>
      <c r="C5">
        <v>72.832322205470149</v>
      </c>
      <c r="D5">
        <v>63.703609594706606</v>
      </c>
      <c r="E5">
        <v>77.452679989701451</v>
      </c>
      <c r="K5" s="9"/>
      <c r="L5" s="9"/>
      <c r="M5" s="9"/>
      <c r="N5" s="9"/>
      <c r="O5" s="13"/>
    </row>
    <row r="6" spans="1:16" x14ac:dyDescent="0.3">
      <c r="B6">
        <v>84.910627802370598</v>
      </c>
      <c r="C6">
        <v>77.624655824784469</v>
      </c>
      <c r="D6">
        <v>67.283997925803845</v>
      </c>
      <c r="E6">
        <v>74.299279871900893</v>
      </c>
      <c r="K6" s="9"/>
      <c r="L6" s="9"/>
      <c r="M6" s="9"/>
      <c r="N6" s="9"/>
      <c r="O6" s="13"/>
      <c r="P6" s="1"/>
    </row>
    <row r="7" spans="1:16" x14ac:dyDescent="0.3">
      <c r="B7">
        <v>83.672212829918394</v>
      </c>
      <c r="C7" s="2">
        <f>AVERAGE(C2:C6)</f>
        <v>76.151776403522035</v>
      </c>
      <c r="D7" s="2">
        <f>AVERAGE(D2:D6)</f>
        <v>66.724432264469471</v>
      </c>
      <c r="E7" s="2">
        <f>AVERAGE(E2:E6)</f>
        <v>76.463373465625565</v>
      </c>
      <c r="K7" s="9"/>
      <c r="L7" s="9"/>
      <c r="M7" s="9"/>
      <c r="N7" s="9"/>
      <c r="O7" s="13"/>
    </row>
    <row r="8" spans="1:16" x14ac:dyDescent="0.3">
      <c r="B8" s="2">
        <f>AVERAGE(B2:B7)</f>
        <v>82.369887677653665</v>
      </c>
      <c r="C8">
        <f>_xlfn.STDEV.P(C2:C6)</f>
        <v>2.3326480849499163</v>
      </c>
      <c r="D8">
        <f>_xlfn.STDEV.P(D2:D7)</f>
        <v>3.1814522803406153</v>
      </c>
      <c r="E8">
        <f>_xlfn.STDEV.P(E2:E6)</f>
        <v>1.5276030632605839</v>
      </c>
      <c r="K8" s="9"/>
      <c r="L8" s="9"/>
      <c r="M8" s="9"/>
      <c r="N8" s="9"/>
      <c r="O8" s="13"/>
    </row>
    <row r="9" spans="1:16" x14ac:dyDescent="0.3">
      <c r="B9">
        <f>_xlfn.STDEV.P(B2:B7)</f>
        <v>2.0665387846769891</v>
      </c>
      <c r="K9" s="9"/>
      <c r="L9" s="9"/>
      <c r="M9" s="9"/>
      <c r="N9" s="9"/>
      <c r="O9" s="13"/>
    </row>
    <row r="10" spans="1:16" x14ac:dyDescent="0.3">
      <c r="K10" s="9"/>
      <c r="L10" s="9"/>
      <c r="M10" s="9"/>
      <c r="N10" s="9"/>
      <c r="O10" s="13"/>
    </row>
    <row r="11" spans="1:16" x14ac:dyDescent="0.3">
      <c r="K11" s="9"/>
      <c r="L11" s="9"/>
      <c r="M11" s="9"/>
      <c r="N11" s="9"/>
      <c r="O11" s="13"/>
    </row>
    <row r="12" spans="1:16" x14ac:dyDescent="0.3">
      <c r="A12" t="s">
        <v>18</v>
      </c>
      <c r="B12" s="3" t="s">
        <v>5</v>
      </c>
      <c r="C12" t="s">
        <v>4</v>
      </c>
      <c r="D12" t="s">
        <v>6</v>
      </c>
      <c r="E12" t="s">
        <v>7</v>
      </c>
      <c r="K12" s="9"/>
      <c r="L12" s="9"/>
      <c r="M12" s="9"/>
      <c r="N12" s="9"/>
      <c r="O12" s="13"/>
    </row>
    <row r="13" spans="1:16" x14ac:dyDescent="0.3">
      <c r="K13" s="9"/>
      <c r="L13" s="9"/>
      <c r="M13" s="9"/>
      <c r="N13" s="9"/>
      <c r="O13" s="13"/>
    </row>
    <row r="14" spans="1:16" x14ac:dyDescent="0.3">
      <c r="K14" s="9"/>
      <c r="L14" s="9"/>
      <c r="M14" s="9"/>
      <c r="N14" s="9"/>
      <c r="O14" s="13"/>
    </row>
    <row r="15" spans="1:16" x14ac:dyDescent="0.3">
      <c r="K15" s="9"/>
      <c r="L15" s="9"/>
      <c r="M15" s="9"/>
      <c r="N15" s="9"/>
      <c r="O15" s="13"/>
    </row>
    <row r="16" spans="1:16" x14ac:dyDescent="0.3">
      <c r="A16" t="s">
        <v>19</v>
      </c>
      <c r="B16" t="s">
        <v>8</v>
      </c>
      <c r="C16">
        <v>72.59</v>
      </c>
      <c r="D16">
        <v>9.7200000000000006</v>
      </c>
      <c r="E16" s="6">
        <f>D16/C16*100</f>
        <v>13.390274142443864</v>
      </c>
      <c r="K16" s="9"/>
      <c r="L16" s="9"/>
      <c r="M16" s="9"/>
      <c r="N16" s="9"/>
      <c r="O16" s="13"/>
    </row>
    <row r="17" spans="1:15" x14ac:dyDescent="0.3">
      <c r="B17" t="s">
        <v>9</v>
      </c>
      <c r="C17">
        <v>80.67</v>
      </c>
      <c r="D17">
        <v>7.34</v>
      </c>
      <c r="E17" s="6">
        <f t="shared" ref="E17:E24" si="0">D17/C17*100</f>
        <v>9.0987975703483333</v>
      </c>
      <c r="K17" s="9"/>
      <c r="L17" s="9"/>
      <c r="M17" s="9"/>
      <c r="N17" s="9"/>
      <c r="O17" s="13"/>
    </row>
    <row r="18" spans="1:15" ht="14.5" thickBot="1" x14ac:dyDescent="0.35">
      <c r="B18" t="s">
        <v>10</v>
      </c>
      <c r="C18">
        <v>78.12</v>
      </c>
      <c r="D18">
        <v>8.66</v>
      </c>
      <c r="E18" s="6">
        <f t="shared" si="0"/>
        <v>11.085509472606246</v>
      </c>
      <c r="K18" s="10"/>
      <c r="L18" s="10"/>
      <c r="M18" s="10"/>
      <c r="N18" s="10"/>
      <c r="O18" s="13"/>
    </row>
    <row r="19" spans="1:15" ht="16" thickTop="1" thickBot="1" x14ac:dyDescent="0.35">
      <c r="B19" t="s">
        <v>11</v>
      </c>
      <c r="C19">
        <v>78.25</v>
      </c>
      <c r="D19">
        <v>9.17</v>
      </c>
      <c r="E19" s="6">
        <f t="shared" si="0"/>
        <v>11.71884984025559</v>
      </c>
      <c r="K19" s="11"/>
      <c r="O19" s="13"/>
    </row>
    <row r="20" spans="1:15" ht="15" thickTop="1" thickBot="1" x14ac:dyDescent="0.35">
      <c r="B20" t="s">
        <v>12</v>
      </c>
      <c r="C20">
        <v>80.81</v>
      </c>
      <c r="D20">
        <v>6.24</v>
      </c>
      <c r="E20" s="6">
        <f t="shared" si="0"/>
        <v>7.7218166068555876</v>
      </c>
      <c r="K20" s="12"/>
      <c r="L20" s="12"/>
      <c r="M20" s="12"/>
      <c r="N20" s="12"/>
      <c r="O20" s="13"/>
    </row>
    <row r="21" spans="1:15" x14ac:dyDescent="0.3">
      <c r="B21" t="s">
        <v>13</v>
      </c>
      <c r="C21">
        <v>86.41</v>
      </c>
      <c r="D21">
        <v>9.93</v>
      </c>
      <c r="E21" s="6">
        <f t="shared" si="0"/>
        <v>11.491725494734407</v>
      </c>
      <c r="K21" s="9"/>
      <c r="L21" s="9"/>
      <c r="M21" s="9"/>
      <c r="N21" s="9"/>
      <c r="O21" s="13"/>
    </row>
    <row r="22" spans="1:15" x14ac:dyDescent="0.3">
      <c r="B22" t="s">
        <v>14</v>
      </c>
      <c r="C22">
        <v>81.67</v>
      </c>
      <c r="D22">
        <v>11.59</v>
      </c>
      <c r="E22" s="6">
        <f t="shared" si="0"/>
        <v>14.19125749969389</v>
      </c>
      <c r="K22" s="9"/>
      <c r="L22" s="9"/>
      <c r="M22" s="9"/>
      <c r="N22" s="9"/>
      <c r="O22" s="13"/>
    </row>
    <row r="23" spans="1:15" x14ac:dyDescent="0.3">
      <c r="B23" t="s">
        <v>15</v>
      </c>
      <c r="C23">
        <v>83.67</v>
      </c>
      <c r="D23">
        <v>10.87</v>
      </c>
      <c r="E23" s="6">
        <f t="shared" si="0"/>
        <v>12.99151428229951</v>
      </c>
      <c r="K23" s="9"/>
      <c r="L23" s="9"/>
      <c r="M23" s="9"/>
      <c r="N23" s="9"/>
      <c r="O23" s="13"/>
    </row>
    <row r="24" spans="1:15" x14ac:dyDescent="0.3">
      <c r="B24" t="s">
        <v>16</v>
      </c>
      <c r="C24">
        <v>80.27</v>
      </c>
      <c r="D24">
        <v>7.45</v>
      </c>
      <c r="E24" s="6">
        <f t="shared" si="0"/>
        <v>9.2811760308957272</v>
      </c>
      <c r="K24" s="9"/>
      <c r="L24" s="9"/>
      <c r="M24" s="9"/>
      <c r="N24" s="9"/>
      <c r="O24" s="13"/>
    </row>
    <row r="25" spans="1:15" x14ac:dyDescent="0.3">
      <c r="K25" s="9"/>
      <c r="L25" s="9"/>
      <c r="M25" s="9"/>
      <c r="N25" s="9"/>
      <c r="O25" s="13"/>
    </row>
    <row r="26" spans="1:15" x14ac:dyDescent="0.3">
      <c r="C26" t="s">
        <v>21</v>
      </c>
      <c r="E26" t="s">
        <v>20</v>
      </c>
      <c r="K26" s="9"/>
      <c r="L26" s="9"/>
      <c r="M26" s="9"/>
      <c r="N26" s="9"/>
      <c r="O26" s="13"/>
    </row>
    <row r="27" spans="1:15" x14ac:dyDescent="0.3">
      <c r="A27" t="s">
        <v>22</v>
      </c>
      <c r="B27" t="s">
        <v>8</v>
      </c>
      <c r="C27">
        <f>16*2280</f>
        <v>36480</v>
      </c>
      <c r="D27">
        <v>11164.278</v>
      </c>
      <c r="E27">
        <f>(1-D27/C27)*100</f>
        <v>69.396167763157891</v>
      </c>
      <c r="K27" s="9"/>
      <c r="L27" s="9"/>
      <c r="M27" s="9"/>
      <c r="N27" s="9"/>
      <c r="O27" s="13"/>
    </row>
    <row r="28" spans="1:15" x14ac:dyDescent="0.3">
      <c r="C28">
        <f>16*2280</f>
        <v>36480</v>
      </c>
      <c r="D28">
        <v>10210.406000000001</v>
      </c>
      <c r="E28">
        <f>(1-D28/C28)*100</f>
        <v>72.010948464912275</v>
      </c>
      <c r="K28" s="9"/>
      <c r="L28" s="9"/>
      <c r="M28" s="9"/>
      <c r="N28" s="9"/>
      <c r="O28" s="13"/>
    </row>
    <row r="29" spans="1:15" x14ac:dyDescent="0.3">
      <c r="C29">
        <f>16*2280</f>
        <v>36480</v>
      </c>
      <c r="D29">
        <v>9281.7919999999995</v>
      </c>
      <c r="E29">
        <f>(1-D29/C29)*100</f>
        <v>74.556491228070172</v>
      </c>
      <c r="K29" s="9"/>
      <c r="L29" s="9"/>
      <c r="M29" s="9"/>
      <c r="N29" s="9"/>
      <c r="O29" s="13"/>
    </row>
    <row r="30" spans="1:15" x14ac:dyDescent="0.3">
      <c r="C30">
        <f>16*2280</f>
        <v>36480</v>
      </c>
      <c r="D30">
        <v>9149.8700000000008</v>
      </c>
      <c r="E30">
        <f>(1-D30/C30)*100</f>
        <v>74.918119517543857</v>
      </c>
      <c r="K30" s="9"/>
      <c r="L30" s="9"/>
      <c r="M30" s="9"/>
      <c r="N30" s="9"/>
      <c r="O30" s="13"/>
    </row>
    <row r="31" spans="1:15" x14ac:dyDescent="0.3">
      <c r="C31">
        <f>16*2280</f>
        <v>36480</v>
      </c>
      <c r="D31">
        <v>9944.3439999999991</v>
      </c>
      <c r="E31">
        <f>(1-D31/C31)*100</f>
        <v>72.7402850877193</v>
      </c>
      <c r="K31" s="9"/>
      <c r="L31" s="9"/>
      <c r="M31" s="9"/>
      <c r="N31" s="9"/>
      <c r="O31" s="13"/>
    </row>
    <row r="32" spans="1:15" x14ac:dyDescent="0.3">
      <c r="E32" s="2">
        <f>AVERAGE(E27:E31)</f>
        <v>72.724402412280696</v>
      </c>
      <c r="F32" s="4">
        <f>_xlfn.STDEV.P(E27:E31)</f>
        <v>1.9877303056944795</v>
      </c>
      <c r="K32" s="9"/>
      <c r="L32" s="9"/>
      <c r="M32" s="9"/>
      <c r="N32" s="9"/>
      <c r="O32" s="13"/>
    </row>
    <row r="33" spans="2:15" x14ac:dyDescent="0.3">
      <c r="B33" t="s">
        <v>9</v>
      </c>
      <c r="C33">
        <f t="shared" ref="C33:C51" si="1">16*2280</f>
        <v>36480</v>
      </c>
      <c r="D33">
        <v>7219.9690000000001</v>
      </c>
      <c r="E33">
        <f>(1-D33/C33)*100</f>
        <v>80.208418311403506</v>
      </c>
      <c r="K33" s="9"/>
      <c r="L33" s="9"/>
      <c r="M33" s="9"/>
      <c r="N33" s="9"/>
      <c r="O33" s="13"/>
    </row>
    <row r="34" spans="2:15" x14ac:dyDescent="0.3">
      <c r="C34">
        <f t="shared" si="1"/>
        <v>36480</v>
      </c>
      <c r="D34">
        <v>8632.3990000000013</v>
      </c>
      <c r="E34">
        <f>(1-D34/C34)*100</f>
        <v>76.336625548245607</v>
      </c>
      <c r="K34" s="9"/>
      <c r="L34" s="9"/>
      <c r="M34" s="9"/>
      <c r="N34" s="9"/>
      <c r="O34" s="13"/>
    </row>
    <row r="35" spans="2:15" x14ac:dyDescent="0.3">
      <c r="C35">
        <f t="shared" si="1"/>
        <v>36480</v>
      </c>
      <c r="D35">
        <v>8941.4161999999997</v>
      </c>
      <c r="E35">
        <f>(1-D35/C35)*100</f>
        <v>75.489538925438595</v>
      </c>
      <c r="K35" s="9"/>
      <c r="L35" s="9"/>
      <c r="M35" s="9"/>
      <c r="N35" s="9"/>
      <c r="O35" s="13"/>
    </row>
    <row r="36" spans="2:15" x14ac:dyDescent="0.3">
      <c r="C36">
        <f t="shared" si="1"/>
        <v>36480</v>
      </c>
      <c r="D36">
        <v>7958.4823999999999</v>
      </c>
      <c r="E36">
        <f>(1-D36/C36)*100</f>
        <v>78.183984649122806</v>
      </c>
      <c r="K36" s="9"/>
      <c r="L36" s="9"/>
      <c r="M36" s="9"/>
      <c r="N36" s="9"/>
      <c r="O36" s="13"/>
    </row>
    <row r="37" spans="2:15" x14ac:dyDescent="0.3">
      <c r="C37">
        <f t="shared" si="1"/>
        <v>36480</v>
      </c>
      <c r="D37">
        <v>7652.1462000000001</v>
      </c>
      <c r="E37">
        <f>(1-D37/C37)*100</f>
        <v>79.023722039473682</v>
      </c>
      <c r="K37" s="9"/>
      <c r="L37" s="9"/>
      <c r="M37" s="9"/>
      <c r="N37" s="9"/>
      <c r="O37" s="13"/>
    </row>
    <row r="38" spans="2:15" x14ac:dyDescent="0.3">
      <c r="E38" s="2">
        <f>AVERAGE(E33:E37)</f>
        <v>77.848457894736839</v>
      </c>
      <c r="F38" s="4">
        <f>_xlfn.STDEV.P(E33:E37)</f>
        <v>1.7270421493790236</v>
      </c>
      <c r="K38" s="9"/>
      <c r="L38" s="9"/>
      <c r="M38" s="9"/>
      <c r="N38" s="9"/>
      <c r="O38" s="13"/>
    </row>
    <row r="39" spans="2:15" x14ac:dyDescent="0.3">
      <c r="K39" s="9"/>
      <c r="L39" s="9"/>
      <c r="M39" s="9"/>
      <c r="N39" s="9"/>
      <c r="O39" s="13"/>
    </row>
    <row r="40" spans="2:15" x14ac:dyDescent="0.3">
      <c r="B40" t="s">
        <v>10</v>
      </c>
      <c r="C40">
        <f t="shared" si="1"/>
        <v>36480</v>
      </c>
      <c r="D40">
        <v>5714.34</v>
      </c>
      <c r="E40">
        <f>(1-D40/C40)*100</f>
        <v>84.335690789473688</v>
      </c>
      <c r="K40" s="9"/>
      <c r="L40" s="9"/>
      <c r="M40" s="9"/>
      <c r="N40" s="9"/>
      <c r="O40" s="13"/>
    </row>
    <row r="41" spans="2:15" x14ac:dyDescent="0.3">
      <c r="C41">
        <f t="shared" si="1"/>
        <v>36480</v>
      </c>
      <c r="D41">
        <v>4509.2270000000008</v>
      </c>
      <c r="E41">
        <f>(1-D41/C41)*100</f>
        <v>87.639180372807019</v>
      </c>
      <c r="K41" s="9"/>
      <c r="L41" s="9"/>
      <c r="M41" s="9"/>
      <c r="N41" s="9"/>
      <c r="O41" s="13"/>
    </row>
    <row r="42" spans="2:15" x14ac:dyDescent="0.3">
      <c r="C42">
        <f t="shared" si="1"/>
        <v>36480</v>
      </c>
      <c r="D42">
        <v>5042.1949999999997</v>
      </c>
      <c r="E42">
        <f t="shared" ref="E42:E44" si="2">(1-D42/C42)*100</f>
        <v>86.178193530701748</v>
      </c>
      <c r="K42" s="9"/>
      <c r="L42" s="9"/>
      <c r="M42" s="9"/>
      <c r="N42" s="9"/>
      <c r="O42" s="13"/>
    </row>
    <row r="43" spans="2:15" ht="14.5" thickBot="1" x14ac:dyDescent="0.35">
      <c r="C43">
        <f t="shared" si="1"/>
        <v>36480</v>
      </c>
      <c r="D43">
        <v>5545.1369999999997</v>
      </c>
      <c r="E43">
        <f t="shared" si="2"/>
        <v>84.799514802631577</v>
      </c>
      <c r="K43" s="10"/>
      <c r="L43" s="10"/>
      <c r="M43" s="10"/>
      <c r="N43" s="10"/>
      <c r="O43" s="13"/>
    </row>
    <row r="44" spans="2:15" ht="14.5" thickTop="1" x14ac:dyDescent="0.3">
      <c r="C44">
        <f t="shared" si="1"/>
        <v>36480</v>
      </c>
      <c r="D44">
        <v>5278.65</v>
      </c>
      <c r="E44">
        <f t="shared" si="2"/>
        <v>85.530016447368411</v>
      </c>
    </row>
    <row r="45" spans="2:15" x14ac:dyDescent="0.3">
      <c r="E45" s="2">
        <f>AVERAGE(E40:E44)</f>
        <v>85.696519188596469</v>
      </c>
      <c r="F45" s="4">
        <f>_xlfn.STDEV.P(E40:E44)</f>
        <v>1.1567313094765499</v>
      </c>
    </row>
    <row r="47" spans="2:15" x14ac:dyDescent="0.3">
      <c r="B47" t="s">
        <v>11</v>
      </c>
      <c r="C47">
        <f t="shared" si="1"/>
        <v>36480</v>
      </c>
      <c r="D47">
        <v>8710.8080000000009</v>
      </c>
      <c r="E47">
        <f t="shared" ref="E47:E51" si="3">(1-D47/C47)*100</f>
        <v>76.121688596491225</v>
      </c>
      <c r="N47" s="13"/>
    </row>
    <row r="48" spans="2:15" x14ac:dyDescent="0.3">
      <c r="C48">
        <f t="shared" si="1"/>
        <v>36480</v>
      </c>
      <c r="D48">
        <v>10290.541999999999</v>
      </c>
      <c r="E48">
        <f t="shared" si="3"/>
        <v>71.791277412280706</v>
      </c>
      <c r="N48" s="13"/>
    </row>
    <row r="49" spans="2:14" x14ac:dyDescent="0.3">
      <c r="C49">
        <f t="shared" si="1"/>
        <v>36480</v>
      </c>
      <c r="D49">
        <v>9702.2139999999999</v>
      </c>
      <c r="E49">
        <f t="shared" si="3"/>
        <v>73.40401864035087</v>
      </c>
      <c r="N49" s="13"/>
    </row>
    <row r="50" spans="2:14" x14ac:dyDescent="0.3">
      <c r="C50">
        <f t="shared" si="1"/>
        <v>36480</v>
      </c>
      <c r="D50">
        <v>9169.4699999999993</v>
      </c>
      <c r="E50">
        <f t="shared" si="3"/>
        <v>74.864391447368433</v>
      </c>
      <c r="N50" s="13"/>
    </row>
    <row r="51" spans="2:14" x14ac:dyDescent="0.3">
      <c r="C51">
        <f t="shared" si="1"/>
        <v>36480</v>
      </c>
      <c r="D51">
        <v>8954.741</v>
      </c>
      <c r="E51">
        <f t="shared" si="3"/>
        <v>75.453012609649122</v>
      </c>
      <c r="N51" s="13"/>
    </row>
    <row r="52" spans="2:14" x14ac:dyDescent="0.3">
      <c r="E52" s="2">
        <f>AVERAGE(E47:E51)</f>
        <v>74.326877741228074</v>
      </c>
      <c r="F52" s="4">
        <f>_xlfn.STDEV.P(E47:E51)</f>
        <v>1.5530218723870413</v>
      </c>
      <c r="N52" s="13"/>
    </row>
    <row r="53" spans="2:14" x14ac:dyDescent="0.3">
      <c r="N53" s="13"/>
    </row>
    <row r="54" spans="2:14" x14ac:dyDescent="0.3">
      <c r="B54" t="s">
        <v>12</v>
      </c>
      <c r="C54">
        <v>36480</v>
      </c>
      <c r="D54">
        <v>7605.5510000000004</v>
      </c>
      <c r="E54">
        <f t="shared" ref="E54:E58" si="4">(1-D54/C54)*100</f>
        <v>79.151450109649119</v>
      </c>
      <c r="N54" s="13"/>
    </row>
    <row r="55" spans="2:14" x14ac:dyDescent="0.3">
      <c r="C55">
        <v>36480</v>
      </c>
      <c r="D55">
        <v>7842.5829999999996</v>
      </c>
      <c r="E55">
        <f t="shared" si="4"/>
        <v>78.501691337719294</v>
      </c>
      <c r="N55" s="13"/>
    </row>
    <row r="56" spans="2:14" x14ac:dyDescent="0.3">
      <c r="C56">
        <v>36480</v>
      </c>
      <c r="D56">
        <v>7069.1450000000004</v>
      </c>
      <c r="E56">
        <f t="shared" si="4"/>
        <v>80.621861293859638</v>
      </c>
    </row>
    <row r="57" spans="2:14" x14ac:dyDescent="0.3">
      <c r="C57">
        <v>36480</v>
      </c>
      <c r="D57">
        <v>7423.4949999999999</v>
      </c>
      <c r="E57">
        <f t="shared" si="4"/>
        <v>79.650507127192981</v>
      </c>
    </row>
    <row r="58" spans="2:14" x14ac:dyDescent="0.3">
      <c r="C58">
        <v>36480</v>
      </c>
      <c r="D58">
        <v>8042.9340000000002</v>
      </c>
      <c r="E58">
        <f t="shared" si="4"/>
        <v>77.952483552631577</v>
      </c>
    </row>
    <row r="59" spans="2:14" x14ac:dyDescent="0.3">
      <c r="E59" s="2">
        <f>AVERAGE(E54:E58)</f>
        <v>79.175598684210527</v>
      </c>
      <c r="F59" s="4">
        <f>_xlfn.STDEV.P(E54:E58)</f>
        <v>0.92390026038427664</v>
      </c>
    </row>
    <row r="64" spans="2:14" x14ac:dyDescent="0.3">
      <c r="B64" t="s">
        <v>13</v>
      </c>
      <c r="C64">
        <v>36480</v>
      </c>
      <c r="D64">
        <v>6063.4709999999986</v>
      </c>
      <c r="E64">
        <f t="shared" ref="E64:E68" si="5">(1-D64/C64)*100</f>
        <v>83.378643092105264</v>
      </c>
    </row>
    <row r="65" spans="2:6" x14ac:dyDescent="0.3">
      <c r="C65">
        <v>36480</v>
      </c>
      <c r="D65">
        <v>6954.21</v>
      </c>
      <c r="E65">
        <f t="shared" si="5"/>
        <v>80.936924342105272</v>
      </c>
    </row>
    <row r="66" spans="2:6" x14ac:dyDescent="0.3">
      <c r="C66">
        <v>36480</v>
      </c>
      <c r="D66">
        <v>7089.741</v>
      </c>
      <c r="E66">
        <f t="shared" si="5"/>
        <v>80.565402960526328</v>
      </c>
    </row>
    <row r="67" spans="2:6" x14ac:dyDescent="0.3">
      <c r="C67">
        <v>36480</v>
      </c>
      <c r="D67">
        <v>5936.1419999999998</v>
      </c>
      <c r="E67">
        <f t="shared" si="5"/>
        <v>83.727680921052624</v>
      </c>
    </row>
    <row r="68" spans="2:6" x14ac:dyDescent="0.3">
      <c r="C68">
        <v>36480</v>
      </c>
      <c r="D68">
        <v>5642.87</v>
      </c>
      <c r="E68">
        <f t="shared" si="5"/>
        <v>84.531606359649132</v>
      </c>
    </row>
    <row r="69" spans="2:6" x14ac:dyDescent="0.3">
      <c r="E69" s="2">
        <f>AVERAGE(E64:E68)</f>
        <v>82.628051535087735</v>
      </c>
      <c r="F69" s="4">
        <f>_xlfn.STDEV.P(E64:E68)</f>
        <v>1.5818042715228353</v>
      </c>
    </row>
    <row r="74" spans="2:6" x14ac:dyDescent="0.3">
      <c r="B74" t="s">
        <v>14</v>
      </c>
      <c r="C74">
        <v>36480</v>
      </c>
      <c r="D74">
        <v>10188.322000000002</v>
      </c>
      <c r="E74">
        <f t="shared" ref="E74:E78" si="6">(1-D74/C74)*100</f>
        <v>72.071485745614027</v>
      </c>
    </row>
    <row r="75" spans="2:6" x14ac:dyDescent="0.3">
      <c r="C75">
        <v>36480</v>
      </c>
      <c r="D75">
        <v>9872.1419999999998</v>
      </c>
      <c r="E75">
        <f t="shared" si="6"/>
        <v>72.938207236842103</v>
      </c>
    </row>
    <row r="76" spans="2:6" x14ac:dyDescent="0.3">
      <c r="C76">
        <v>36480</v>
      </c>
      <c r="D76">
        <v>9642.14</v>
      </c>
      <c r="E76">
        <f t="shared" si="6"/>
        <v>73.568695175438606</v>
      </c>
    </row>
    <row r="77" spans="2:6" x14ac:dyDescent="0.3">
      <c r="C77">
        <v>36480</v>
      </c>
      <c r="D77">
        <v>8731.7540000000008</v>
      </c>
      <c r="E77">
        <f t="shared" si="6"/>
        <v>76.064270833333339</v>
      </c>
    </row>
    <row r="78" spans="2:6" x14ac:dyDescent="0.3">
      <c r="C78">
        <v>36480</v>
      </c>
      <c r="D78">
        <v>9132.7132000000001</v>
      </c>
      <c r="E78">
        <f t="shared" si="6"/>
        <v>74.965150219298238</v>
      </c>
    </row>
    <row r="79" spans="2:6" x14ac:dyDescent="0.3">
      <c r="E79" s="2">
        <f>AVERAGE(E74:E78)</f>
        <v>73.921561842105262</v>
      </c>
      <c r="F79" s="4">
        <f>_xlfn.STDEV.P(E74:E78)</f>
        <v>1.4279048462027752</v>
      </c>
    </row>
    <row r="82" spans="2:6" x14ac:dyDescent="0.3">
      <c r="B82" t="s">
        <v>15</v>
      </c>
      <c r="C82">
        <v>36480</v>
      </c>
      <c r="D82">
        <v>6982.6319999999996</v>
      </c>
      <c r="E82">
        <f t="shared" ref="E82:E86" si="7">(1-D82/C82)*100</f>
        <v>80.859013157894736</v>
      </c>
    </row>
    <row r="83" spans="2:6" x14ac:dyDescent="0.3">
      <c r="C83">
        <v>36480</v>
      </c>
      <c r="D83">
        <v>7542.1949999999997</v>
      </c>
      <c r="E83">
        <f t="shared" si="7"/>
        <v>79.325123355263159</v>
      </c>
    </row>
    <row r="84" spans="2:6" x14ac:dyDescent="0.3">
      <c r="C84">
        <v>36480</v>
      </c>
      <c r="D84">
        <v>7189.6850000000004</v>
      </c>
      <c r="E84">
        <f t="shared" si="7"/>
        <v>80.291433662280696</v>
      </c>
    </row>
    <row r="85" spans="2:6" x14ac:dyDescent="0.3">
      <c r="C85">
        <v>36480</v>
      </c>
      <c r="D85">
        <v>9016.4560000000001</v>
      </c>
      <c r="E85">
        <f t="shared" si="7"/>
        <v>75.283837719298248</v>
      </c>
    </row>
    <row r="86" spans="2:6" x14ac:dyDescent="0.3">
      <c r="C86">
        <v>36480</v>
      </c>
      <c r="D86">
        <v>7322.9520000000002</v>
      </c>
      <c r="E86">
        <f t="shared" si="7"/>
        <v>79.926118421052621</v>
      </c>
    </row>
    <row r="87" spans="2:6" x14ac:dyDescent="0.3">
      <c r="E87" s="2">
        <f>AVERAGE(E82:E86)</f>
        <v>79.137105263157906</v>
      </c>
      <c r="F87" s="4">
        <f>_xlfn.STDEV.P(E82:E86)</f>
        <v>1.9901258343044814</v>
      </c>
    </row>
    <row r="91" spans="2:6" x14ac:dyDescent="0.3">
      <c r="B91" t="s">
        <v>16</v>
      </c>
      <c r="C91">
        <v>31920</v>
      </c>
      <c r="D91">
        <v>3168.5549999999998</v>
      </c>
      <c r="E91">
        <f t="shared" ref="E91:E95" si="8">(1-D91/C91)*100</f>
        <v>90.073449248120312</v>
      </c>
    </row>
    <row r="92" spans="2:6" x14ac:dyDescent="0.3">
      <c r="C92">
        <v>31920</v>
      </c>
      <c r="D92">
        <v>5601.2579999999998</v>
      </c>
      <c r="E92">
        <f t="shared" si="8"/>
        <v>82.452199248120309</v>
      </c>
    </row>
    <row r="93" spans="2:6" x14ac:dyDescent="0.3">
      <c r="C93">
        <v>31920</v>
      </c>
      <c r="D93">
        <v>5978.6549999999997</v>
      </c>
      <c r="E93">
        <f t="shared" si="8"/>
        <v>81.269877819548881</v>
      </c>
    </row>
    <row r="94" spans="2:6" x14ac:dyDescent="0.3">
      <c r="C94">
        <v>31920</v>
      </c>
      <c r="D94">
        <v>3856.74</v>
      </c>
      <c r="E94">
        <f t="shared" si="8"/>
        <v>87.917481203007526</v>
      </c>
    </row>
    <row r="95" spans="2:6" x14ac:dyDescent="0.3">
      <c r="C95">
        <v>31920</v>
      </c>
      <c r="D95">
        <v>4012.6410000000001</v>
      </c>
      <c r="E95">
        <f t="shared" si="8"/>
        <v>87.429069548872178</v>
      </c>
    </row>
    <row r="96" spans="2:6" x14ac:dyDescent="0.3">
      <c r="E96" s="2">
        <f>AVERAGE(E91:E95)</f>
        <v>85.828415413533847</v>
      </c>
      <c r="F96" s="5">
        <f>_xlfn.STDEV.P(E91:E95)</f>
        <v>3.3801095361506492</v>
      </c>
    </row>
    <row r="100" spans="3:13" x14ac:dyDescent="0.3">
      <c r="E100" s="1"/>
    </row>
    <row r="102" spans="3:13" x14ac:dyDescent="0.3">
      <c r="C102">
        <v>8.3879999999999999</v>
      </c>
      <c r="D102">
        <v>9.5060000000000002</v>
      </c>
      <c r="E102">
        <v>2.5289999999999999</v>
      </c>
      <c r="F102" s="2">
        <f>AVERAGE(C102:E102)</f>
        <v>6.8076666666666661</v>
      </c>
      <c r="G102" s="4">
        <f>_xlfn.STDEV.P(C102:E102)</f>
        <v>3.0597083012746307</v>
      </c>
      <c r="I102">
        <f t="shared" ref="I102:K105" si="9">C102/C107</f>
        <v>3.410587948280068E-2</v>
      </c>
      <c r="J102">
        <f t="shared" si="9"/>
        <v>2.3243190376057508E-2</v>
      </c>
      <c r="K102">
        <f t="shared" si="9"/>
        <v>5.6144479348200116E-4</v>
      </c>
      <c r="L102" s="7">
        <f>AVERAGE(I102:K102)</f>
        <v>1.9303504884113396E-2</v>
      </c>
      <c r="M102">
        <f>_xlfn.STDEV.P(I102:K102)</f>
        <v>1.3974932700805581E-2</v>
      </c>
    </row>
    <row r="103" spans="3:13" x14ac:dyDescent="0.3">
      <c r="C103">
        <v>2.6139999999999999</v>
      </c>
      <c r="D103">
        <v>9.3390000000000004</v>
      </c>
      <c r="E103">
        <v>9.2620000000000005</v>
      </c>
      <c r="F103" s="2">
        <f t="shared" ref="F103:F105" si="10">AVERAGE(C103:E103)</f>
        <v>7.0716666666666663</v>
      </c>
      <c r="G103" s="4">
        <f t="shared" ref="G103:G105" si="11">_xlfn.STDEV.P(C103:E103)</f>
        <v>3.1522030743945137</v>
      </c>
      <c r="I103">
        <f t="shared" si="9"/>
        <v>5.0141947364382719E-4</v>
      </c>
      <c r="J103">
        <f t="shared" si="9"/>
        <v>3.926094085004414E-2</v>
      </c>
      <c r="K103">
        <f t="shared" si="9"/>
        <v>3.9630311069273887E-2</v>
      </c>
      <c r="L103" s="7">
        <f t="shared" ref="L103:L105" si="12">AVERAGE(I103:K103)</f>
        <v>2.6464223797653952E-2</v>
      </c>
      <c r="M103">
        <f t="shared" ref="M103:M105" si="13">_xlfn.STDEV.P(I103:K103)</f>
        <v>1.8359094292563247E-2</v>
      </c>
    </row>
    <row r="104" spans="3:13" x14ac:dyDescent="0.3">
      <c r="C104">
        <v>7.4550000000000001</v>
      </c>
      <c r="D104">
        <v>9.3049999999999997</v>
      </c>
      <c r="E104">
        <v>7.8719999999999999</v>
      </c>
      <c r="F104" s="2">
        <f t="shared" si="10"/>
        <v>8.2106666666666666</v>
      </c>
      <c r="G104" s="4">
        <f t="shared" si="11"/>
        <v>0.79231573392317667</v>
      </c>
      <c r="I104">
        <f t="shared" si="9"/>
        <v>3.9185282522996058E-2</v>
      </c>
      <c r="J104">
        <f t="shared" si="9"/>
        <v>4.8559649305917961E-2</v>
      </c>
      <c r="K104">
        <f t="shared" si="9"/>
        <v>3.1551102204408814E-2</v>
      </c>
      <c r="L104" s="7">
        <f t="shared" si="12"/>
        <v>3.9765344677774282E-2</v>
      </c>
      <c r="M104">
        <f t="shared" si="13"/>
        <v>6.9558140047789275E-3</v>
      </c>
    </row>
    <row r="105" spans="3:13" x14ac:dyDescent="0.3">
      <c r="C105">
        <v>15.2111</v>
      </c>
      <c r="D105">
        <v>18.103999999999999</v>
      </c>
      <c r="E105">
        <v>17.339500000000001</v>
      </c>
      <c r="F105" s="2">
        <f t="shared" si="10"/>
        <v>16.884866666666667</v>
      </c>
      <c r="G105" s="4">
        <f t="shared" si="11"/>
        <v>1.2239924300782619</v>
      </c>
      <c r="I105">
        <f t="shared" si="9"/>
        <v>0.12243319381841597</v>
      </c>
      <c r="J105">
        <f t="shared" si="9"/>
        <v>0.14241661422278162</v>
      </c>
      <c r="K105">
        <f t="shared" si="9"/>
        <v>0.12895656700877584</v>
      </c>
      <c r="L105" s="7">
        <f t="shared" si="12"/>
        <v>0.13126879168332448</v>
      </c>
      <c r="M105">
        <f t="shared" si="13"/>
        <v>8.3204190589015441E-3</v>
      </c>
    </row>
    <row r="106" spans="3:13" x14ac:dyDescent="0.3">
      <c r="F106" s="2"/>
    </row>
    <row r="107" spans="3:13" x14ac:dyDescent="0.3">
      <c r="C107">
        <v>245.94</v>
      </c>
      <c r="D107">
        <v>408.98</v>
      </c>
      <c r="E107">
        <v>4504.45</v>
      </c>
      <c r="F107" s="2">
        <v>1719.79</v>
      </c>
      <c r="G107" s="4">
        <v>1970.1766399999999</v>
      </c>
    </row>
    <row r="108" spans="3:13" x14ac:dyDescent="0.3">
      <c r="C108">
        <v>5213.2</v>
      </c>
      <c r="D108">
        <v>237.87</v>
      </c>
      <c r="E108">
        <v>233.71</v>
      </c>
      <c r="F108" s="2">
        <v>1894.9266700000001</v>
      </c>
      <c r="G108" s="4">
        <v>2346.37419</v>
      </c>
    </row>
    <row r="109" spans="3:13" x14ac:dyDescent="0.3">
      <c r="C109">
        <v>190.25</v>
      </c>
      <c r="D109">
        <v>191.62</v>
      </c>
      <c r="E109">
        <v>249.5</v>
      </c>
      <c r="F109" s="2">
        <v>210.45667</v>
      </c>
      <c r="G109" s="4">
        <v>27.61347</v>
      </c>
    </row>
    <row r="110" spans="3:13" x14ac:dyDescent="0.3">
      <c r="C110">
        <v>124.24</v>
      </c>
      <c r="D110">
        <v>127.12</v>
      </c>
      <c r="E110">
        <v>134.46</v>
      </c>
      <c r="F110" s="2">
        <v>128.60667000000001</v>
      </c>
      <c r="G110" s="4">
        <v>4.3026900000000001</v>
      </c>
    </row>
    <row r="112" spans="3:13" x14ac:dyDescent="0.3">
      <c r="C112">
        <f>1/C107</f>
        <v>4.0660323656176306E-3</v>
      </c>
      <c r="D112">
        <f t="shared" ref="D112:E112" si="14">1/D107</f>
        <v>2.4451073402122353E-3</v>
      </c>
      <c r="E112">
        <f t="shared" si="14"/>
        <v>2.2200268623250342E-4</v>
      </c>
      <c r="F112">
        <f>AVERAGE(C112:E112)</f>
        <v>2.2443807973541231E-3</v>
      </c>
      <c r="G112">
        <f>_xlfn.STDEV.P(C112:E112)</f>
        <v>1.5757240457969909E-3</v>
      </c>
    </row>
    <row r="113" spans="3:7" x14ac:dyDescent="0.3">
      <c r="C113">
        <f>1/C108</f>
        <v>1.9182076267935242E-4</v>
      </c>
      <c r="D113">
        <f t="shared" ref="D113:E113" si="15">1/D108</f>
        <v>4.2039769622062469E-3</v>
      </c>
      <c r="E113">
        <f t="shared" si="15"/>
        <v>4.2788070685892774E-3</v>
      </c>
      <c r="F113">
        <f>AVERAGE(C113:E113)</f>
        <v>2.8915349311582923E-3</v>
      </c>
      <c r="G113">
        <f>_xlfn.STDEV.P(C113:E113)</f>
        <v>1.9092306181321265E-3</v>
      </c>
    </row>
    <row r="114" spans="3:7" x14ac:dyDescent="0.3">
      <c r="C114">
        <f>1/C109</f>
        <v>5.2562417871222077E-3</v>
      </c>
      <c r="D114">
        <f t="shared" ref="D114:E114" si="16">1/D109</f>
        <v>5.2186619350798455E-3</v>
      </c>
      <c r="E114">
        <f t="shared" si="16"/>
        <v>4.0080160320641279E-3</v>
      </c>
      <c r="F114">
        <f>AVERAGE(C114:E114)</f>
        <v>4.8276399180887273E-3</v>
      </c>
      <c r="G114">
        <f>_xlfn.STDEV.P(C114:E114)</f>
        <v>5.7976463455809962E-4</v>
      </c>
    </row>
    <row r="115" spans="3:7" x14ac:dyDescent="0.3">
      <c r="C115">
        <f>1/C110</f>
        <v>8.0489375402446883E-3</v>
      </c>
      <c r="D115">
        <f t="shared" ref="D115:E115" si="17">1/D110</f>
        <v>7.866582756450597E-3</v>
      </c>
      <c r="E115">
        <f t="shared" si="17"/>
        <v>7.4371560315335409E-3</v>
      </c>
      <c r="F115">
        <f>AVERAGE(C115:E115)</f>
        <v>7.7842254427429418E-3</v>
      </c>
      <c r="G115">
        <f>_xlfn.STDEV.P(C115:E115)</f>
        <v>2.5645818234958274E-4</v>
      </c>
    </row>
    <row r="117" spans="3:7" x14ac:dyDescent="0.3">
      <c r="D117">
        <v>11.31</v>
      </c>
      <c r="E117">
        <v>11.31</v>
      </c>
      <c r="F117">
        <v>10.050000000000001</v>
      </c>
      <c r="G117">
        <f>AVERAGE(D117:F117)</f>
        <v>10.89</v>
      </c>
    </row>
    <row r="215" spans="1:16" x14ac:dyDescent="0.3">
      <c r="A215" s="1"/>
    </row>
    <row r="216" spans="1:16" x14ac:dyDescent="0.3">
      <c r="P216" s="1"/>
    </row>
    <row r="310" spans="1:16" x14ac:dyDescent="0.3">
      <c r="A310" s="1"/>
    </row>
    <row r="311" spans="1:16" x14ac:dyDescent="0.3">
      <c r="A311" s="1"/>
      <c r="P311" s="1"/>
    </row>
    <row r="312" spans="1:16" x14ac:dyDescent="0.3">
      <c r="P312" s="1"/>
    </row>
    <row r="373" spans="1:16" x14ac:dyDescent="0.3">
      <c r="A373" s="1"/>
    </row>
    <row r="374" spans="1:16" x14ac:dyDescent="0.3">
      <c r="P374" s="1"/>
    </row>
    <row r="376" spans="1:16" x14ac:dyDescent="0.3">
      <c r="A376" s="1"/>
    </row>
    <row r="377" spans="1:16" x14ac:dyDescent="0.3">
      <c r="P377" s="1"/>
    </row>
    <row r="503" spans="1:16" x14ac:dyDescent="0.3">
      <c r="A503" s="1"/>
    </row>
    <row r="504" spans="1:16" x14ac:dyDescent="0.3">
      <c r="P504" s="1"/>
    </row>
    <row r="529" spans="1:16" x14ac:dyDescent="0.3">
      <c r="A529" s="1"/>
    </row>
    <row r="530" spans="1:16" x14ac:dyDescent="0.3">
      <c r="P530" s="1"/>
    </row>
    <row r="587" spans="1:16" x14ac:dyDescent="0.3">
      <c r="A587" s="1"/>
    </row>
    <row r="588" spans="1:16" x14ac:dyDescent="0.3">
      <c r="P588" s="1"/>
    </row>
    <row r="597" spans="1:16" x14ac:dyDescent="0.3">
      <c r="A597" s="1"/>
    </row>
    <row r="598" spans="1:16" x14ac:dyDescent="0.3">
      <c r="P598" s="1"/>
    </row>
    <row r="601" spans="1:16" x14ac:dyDescent="0.3">
      <c r="A601" s="1"/>
    </row>
    <row r="602" spans="1:16" x14ac:dyDescent="0.3">
      <c r="P602" s="1"/>
    </row>
    <row r="605" spans="1:16" x14ac:dyDescent="0.3">
      <c r="A605" s="1"/>
    </row>
    <row r="606" spans="1:16" x14ac:dyDescent="0.3">
      <c r="P606" s="1"/>
    </row>
    <row r="612" spans="1:16" x14ac:dyDescent="0.3">
      <c r="A612" s="1"/>
    </row>
    <row r="613" spans="1:16" x14ac:dyDescent="0.3">
      <c r="P613" s="1"/>
    </row>
    <row r="643" spans="1:16" x14ac:dyDescent="0.3">
      <c r="A643" s="1"/>
    </row>
    <row r="644" spans="1:16" x14ac:dyDescent="0.3">
      <c r="P644" s="1"/>
    </row>
    <row r="645" spans="1:16" x14ac:dyDescent="0.3">
      <c r="A645" s="1"/>
    </row>
    <row r="646" spans="1:16" x14ac:dyDescent="0.3">
      <c r="P646" s="1"/>
    </row>
    <row r="677" spans="1:16" x14ac:dyDescent="0.3">
      <c r="A677" s="1"/>
    </row>
    <row r="678" spans="1:16" x14ac:dyDescent="0.3">
      <c r="P678" s="1"/>
    </row>
    <row r="684" spans="1:16" x14ac:dyDescent="0.3">
      <c r="A684" s="1"/>
    </row>
    <row r="685" spans="1:16" x14ac:dyDescent="0.3">
      <c r="P685" s="1"/>
    </row>
    <row r="709" spans="1:16" x14ac:dyDescent="0.3">
      <c r="A709" s="1"/>
    </row>
    <row r="710" spans="1:16" x14ac:dyDescent="0.3">
      <c r="P710" s="1"/>
    </row>
    <row r="730" spans="1:16" x14ac:dyDescent="0.3">
      <c r="A730" s="1"/>
    </row>
    <row r="731" spans="1:16" x14ac:dyDescent="0.3">
      <c r="P731" s="1"/>
    </row>
    <row r="745" spans="1:16" x14ac:dyDescent="0.3">
      <c r="A745" s="1"/>
    </row>
    <row r="746" spans="1:16" x14ac:dyDescent="0.3">
      <c r="P746" s="1"/>
    </row>
    <row r="754" spans="1:16" x14ac:dyDescent="0.3">
      <c r="A754" s="1"/>
    </row>
    <row r="755" spans="1:16" x14ac:dyDescent="0.3">
      <c r="P755" s="1"/>
    </row>
    <row r="779" spans="1:16" x14ac:dyDescent="0.3">
      <c r="A779" s="1"/>
    </row>
    <row r="780" spans="1:16" x14ac:dyDescent="0.3">
      <c r="P780" s="1"/>
    </row>
    <row r="795" spans="1:16" x14ac:dyDescent="0.3">
      <c r="A795" s="1"/>
    </row>
    <row r="796" spans="1:16" x14ac:dyDescent="0.3">
      <c r="P796" s="1"/>
    </row>
    <row r="815" spans="1:16" x14ac:dyDescent="0.3">
      <c r="A815" s="1"/>
    </row>
    <row r="816" spans="1:16" x14ac:dyDescent="0.3">
      <c r="P816" s="1"/>
    </row>
    <row r="848" spans="1:1" x14ac:dyDescent="0.3">
      <c r="A848" s="1"/>
    </row>
    <row r="849" spans="16:16" x14ac:dyDescent="0.3">
      <c r="P849" s="1"/>
    </row>
    <row r="886" spans="1:16" x14ac:dyDescent="0.3">
      <c r="A886" s="1"/>
    </row>
    <row r="887" spans="1:16" x14ac:dyDescent="0.3">
      <c r="P887" s="1"/>
    </row>
    <row r="893" spans="1:16" x14ac:dyDescent="0.3">
      <c r="A893" s="1"/>
    </row>
    <row r="894" spans="1:16" x14ac:dyDescent="0.3">
      <c r="P894" s="1"/>
    </row>
    <row r="978" spans="1:16" x14ac:dyDescent="0.3">
      <c r="A978" s="1"/>
    </row>
    <row r="979" spans="1:16" x14ac:dyDescent="0.3">
      <c r="P979" s="1"/>
    </row>
    <row r="991" spans="1:16" x14ac:dyDescent="0.3">
      <c r="A991" s="1"/>
    </row>
    <row r="992" spans="1:16" x14ac:dyDescent="0.3">
      <c r="P992" s="1"/>
    </row>
    <row r="1010" spans="1:16" x14ac:dyDescent="0.3">
      <c r="A1010" s="1"/>
    </row>
    <row r="1011" spans="1:16" x14ac:dyDescent="0.3">
      <c r="P1011" s="1"/>
    </row>
    <row r="1019" spans="1:16" x14ac:dyDescent="0.3">
      <c r="A1019" s="1"/>
    </row>
    <row r="1020" spans="1:16" x14ac:dyDescent="0.3">
      <c r="P1020" s="1"/>
    </row>
    <row r="1040" spans="1:1" x14ac:dyDescent="0.3">
      <c r="A1040" s="1"/>
    </row>
    <row r="1041" spans="1:16" x14ac:dyDescent="0.3">
      <c r="P1041" s="1"/>
    </row>
    <row r="1048" spans="1:16" x14ac:dyDescent="0.3">
      <c r="E1048" s="1"/>
    </row>
    <row r="1049" spans="1:16" x14ac:dyDescent="0.3">
      <c r="A1049" s="1"/>
      <c r="E1049" s="1"/>
    </row>
    <row r="1050" spans="1:16" x14ac:dyDescent="0.3">
      <c r="A1050" s="1"/>
      <c r="E1050" s="1"/>
      <c r="P1050" s="1"/>
    </row>
    <row r="1051" spans="1:16" x14ac:dyDescent="0.3">
      <c r="E1051" s="1"/>
      <c r="P1051" s="1"/>
    </row>
    <row r="1052" spans="1:16" x14ac:dyDescent="0.3">
      <c r="E1052" s="1"/>
    </row>
    <row r="1053" spans="1:16" x14ac:dyDescent="0.3">
      <c r="E1053" s="1"/>
    </row>
    <row r="1054" spans="1:16" x14ac:dyDescent="0.3">
      <c r="E1054" s="1"/>
    </row>
    <row r="1055" spans="1:16" x14ac:dyDescent="0.3">
      <c r="E1055" s="1"/>
    </row>
    <row r="1056" spans="1:16" x14ac:dyDescent="0.3">
      <c r="E1056" s="1"/>
    </row>
    <row r="1057" spans="5:5" x14ac:dyDescent="0.3">
      <c r="E1057" s="1"/>
    </row>
    <row r="1058" spans="5:5" x14ac:dyDescent="0.3">
      <c r="E1058" s="1"/>
    </row>
    <row r="1059" spans="5:5" x14ac:dyDescent="0.3">
      <c r="E1059" s="1"/>
    </row>
    <row r="1060" spans="5:5" x14ac:dyDescent="0.3">
      <c r="E1060" s="1"/>
    </row>
    <row r="1061" spans="5:5" x14ac:dyDescent="0.3">
      <c r="E1061" s="1"/>
    </row>
    <row r="1062" spans="5:5" x14ac:dyDescent="0.3">
      <c r="E1062" s="1"/>
    </row>
    <row r="1063" spans="5:5" x14ac:dyDescent="0.3">
      <c r="E1063" s="1"/>
    </row>
    <row r="1064" spans="5:5" x14ac:dyDescent="0.3">
      <c r="E1064" s="1"/>
    </row>
    <row r="1081" spans="1:16" x14ac:dyDescent="0.3">
      <c r="A1081" s="1"/>
    </row>
    <row r="1082" spans="1:16" x14ac:dyDescent="0.3">
      <c r="P1082" s="1"/>
    </row>
    <row r="1108" spans="1:16" x14ac:dyDescent="0.3">
      <c r="A1108" s="1"/>
    </row>
    <row r="1109" spans="1:16" x14ac:dyDescent="0.3">
      <c r="P1109" s="1"/>
    </row>
    <row r="1133" spans="7:7" x14ac:dyDescent="0.3">
      <c r="G1133" s="1"/>
    </row>
    <row r="1139" spans="1:16" x14ac:dyDescent="0.3">
      <c r="A1139" s="1"/>
    </row>
    <row r="1140" spans="1:16" x14ac:dyDescent="0.3">
      <c r="P1140" s="1"/>
    </row>
    <row r="1164" spans="1:16" x14ac:dyDescent="0.3">
      <c r="A1164" s="1"/>
    </row>
    <row r="1165" spans="1:16" x14ac:dyDescent="0.3">
      <c r="P1165" s="1"/>
    </row>
    <row r="1250" spans="7:7" x14ac:dyDescent="0.3">
      <c r="G1250" s="1"/>
    </row>
    <row r="1284" spans="7:16" x14ac:dyDescent="0.3">
      <c r="G1284" s="1"/>
      <c r="P1284" s="1"/>
    </row>
    <row r="2954" spans="5:5" x14ac:dyDescent="0.3">
      <c r="E2954" s="1"/>
    </row>
  </sheetData>
  <sortState xmlns:xlrd2="http://schemas.microsoft.com/office/spreadsheetml/2017/richdata2" ref="O1:O355">
    <sortCondition descending="1" ref="O1:O355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Shuai</dc:creator>
  <cp:lastModifiedBy>Yuxin Shuai</cp:lastModifiedBy>
  <dcterms:created xsi:type="dcterms:W3CDTF">2015-06-05T18:19:34Z</dcterms:created>
  <dcterms:modified xsi:type="dcterms:W3CDTF">2026-08-27T08:13:35Z</dcterms:modified>
</cp:coreProperties>
</file>