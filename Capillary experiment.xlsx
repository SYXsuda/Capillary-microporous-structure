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91615\Desktop\capillary porous structure\"/>
    </mc:Choice>
  </mc:AlternateContent>
  <xr:revisionPtr revIDLastSave="0" documentId="13_ncr:1_{C654B808-C735-4C6C-9BCA-21295286BD8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5" i="1"/>
  <c r="L16" i="1"/>
  <c r="L17" i="1"/>
  <c r="L18" i="1"/>
  <c r="L19" i="1"/>
  <c r="L20" i="1"/>
  <c r="L24" i="1"/>
  <c r="L25" i="1"/>
  <c r="L26" i="1"/>
  <c r="L27" i="1"/>
  <c r="L28" i="1"/>
  <c r="L29" i="1"/>
  <c r="L30" i="1"/>
  <c r="L4" i="1"/>
  <c r="F12" i="1"/>
  <c r="F15" i="1"/>
  <c r="F16" i="1"/>
  <c r="F17" i="1"/>
  <c r="F18" i="1"/>
  <c r="F19" i="1"/>
  <c r="F20" i="1"/>
  <c r="F21" i="1"/>
  <c r="F22" i="1"/>
  <c r="F26" i="1"/>
  <c r="F27" i="1"/>
  <c r="F28" i="1"/>
  <c r="F29" i="1"/>
  <c r="F30" i="1"/>
  <c r="F31" i="1"/>
  <c r="F32" i="1"/>
  <c r="F33" i="1"/>
  <c r="F5" i="1"/>
  <c r="F6" i="1"/>
  <c r="F7" i="1"/>
  <c r="F8" i="1"/>
  <c r="F9" i="1"/>
  <c r="F10" i="1"/>
  <c r="F11" i="1"/>
  <c r="F4" i="1"/>
  <c r="E28" i="1"/>
  <c r="E27" i="1"/>
  <c r="E22" i="1"/>
  <c r="E21" i="1"/>
  <c r="K26" i="1"/>
  <c r="K16" i="1"/>
  <c r="K17" i="1"/>
  <c r="K30" i="1"/>
  <c r="E33" i="1"/>
  <c r="E32" i="1"/>
  <c r="K11" i="1"/>
  <c r="K10" i="1"/>
  <c r="E11" i="1"/>
  <c r="E10" i="1"/>
  <c r="E20" i="1"/>
  <c r="E19" i="1"/>
  <c r="K25" i="1"/>
  <c r="K27" i="1"/>
  <c r="K28" i="1"/>
  <c r="K29" i="1"/>
  <c r="K24" i="1"/>
  <c r="K18" i="1"/>
  <c r="K19" i="1"/>
  <c r="K20" i="1"/>
  <c r="K15" i="1"/>
  <c r="E29" i="1"/>
  <c r="E30" i="1"/>
  <c r="E31" i="1"/>
  <c r="E16" i="1"/>
  <c r="E17" i="1"/>
  <c r="E18" i="1"/>
  <c r="E15" i="1"/>
  <c r="E26" i="1"/>
  <c r="E5" i="1"/>
  <c r="E6" i="1"/>
  <c r="E7" i="1"/>
  <c r="E8" i="1"/>
  <c r="E9" i="1"/>
  <c r="E4" i="1"/>
  <c r="K5" i="1"/>
  <c r="K6" i="1"/>
  <c r="K7" i="1"/>
  <c r="K8" i="1"/>
  <c r="K9" i="1"/>
  <c r="K4" i="1"/>
</calcChain>
</file>

<file path=xl/sharedStrings.xml><?xml version="1.0" encoding="utf-8"?>
<sst xmlns="http://schemas.openxmlformats.org/spreadsheetml/2006/main" count="20" uniqueCount="8">
  <si>
    <t>no-pattern</t>
    <phoneticPr fontId="1" type="noConversion"/>
  </si>
  <si>
    <t>sample 1</t>
    <phoneticPr fontId="1" type="noConversion"/>
  </si>
  <si>
    <t>sample 2</t>
    <phoneticPr fontId="1" type="noConversion"/>
  </si>
  <si>
    <t>sample 3</t>
    <phoneticPr fontId="1" type="noConversion"/>
  </si>
  <si>
    <t>time (s)</t>
  </si>
  <si>
    <t>time (s)</t>
    <phoneticPr fontId="1" type="noConversion"/>
  </si>
  <si>
    <t>height (mm)</t>
    <phoneticPr fontId="1" type="noConversion"/>
  </si>
  <si>
    <t>no-pattern-optimised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</si>
</sst>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A7" zoomScale="145" zoomScaleNormal="145" workbookViewId="0">
      <selection activeCell="H13" sqref="H13"/>
    </sheetView>
  </sheetViews>
  <sheetFormatPr defaultRowHeight="14" x14ac:dyDescent="0.3"/>
  <cols>
    <col min="1" max="1" width="6.9140625" bestFit="1" customWidth="1"/>
    <col min="2" max="2" width="11" customWidth="1"/>
    <col min="3" max="3" width="6.9140625" bestFit="1" customWidth="1"/>
    <col min="4" max="4" width="10.9140625" bestFit="1" customWidth="1"/>
    <col min="5" max="5" width="6.9140625" bestFit="1" customWidth="1"/>
    <col min="6" max="6" width="10.9140625" bestFit="1" customWidth="1"/>
    <col min="7" max="7" width="6.9140625" bestFit="1" customWidth="1"/>
    <col min="8" max="8" width="10.9140625" bestFit="1" customWidth="1"/>
    <col min="9" max="9" width="6.9140625" bestFit="1" customWidth="1"/>
    <col min="10" max="10" width="10.9140625" bestFit="1" customWidth="1"/>
    <col min="11" max="11" width="6.9140625" bestFit="1" customWidth="1"/>
    <col min="12" max="12" width="10.9140625" bestFit="1" customWidth="1"/>
  </cols>
  <sheetData>
    <row r="1" spans="1:12" x14ac:dyDescent="0.3">
      <c r="A1" t="s">
        <v>0</v>
      </c>
      <c r="G1" t="s">
        <v>7</v>
      </c>
    </row>
    <row r="2" spans="1:12" x14ac:dyDescent="0.3">
      <c r="A2" t="s">
        <v>1</v>
      </c>
      <c r="G2" t="s">
        <v>1</v>
      </c>
    </row>
    <row r="3" spans="1:12" x14ac:dyDescent="0.3">
      <c r="A3" s="1" t="s">
        <v>5</v>
      </c>
      <c r="B3" s="1" t="s">
        <v>6</v>
      </c>
      <c r="G3" s="1" t="s">
        <v>5</v>
      </c>
      <c r="H3" s="1" t="s">
        <v>6</v>
      </c>
    </row>
    <row r="4" spans="1:12" x14ac:dyDescent="0.3">
      <c r="A4">
        <v>0</v>
      </c>
      <c r="B4">
        <v>2.5</v>
      </c>
      <c r="C4">
        <v>2.2999999999999998</v>
      </c>
      <c r="D4">
        <v>2.4</v>
      </c>
      <c r="E4" s="2">
        <f>_xlfn.STDEV.P(B4:D4)</f>
        <v>8.1649658092772678E-2</v>
      </c>
      <c r="F4">
        <f>AVERAGE(B4:D4)</f>
        <v>2.4</v>
      </c>
      <c r="G4">
        <v>0</v>
      </c>
      <c r="H4">
        <v>4</v>
      </c>
      <c r="I4">
        <v>5</v>
      </c>
      <c r="J4">
        <v>4.7</v>
      </c>
      <c r="K4" s="2">
        <f>_xlfn.STDEV.P(H4:J4)</f>
        <v>0.41899350299921784</v>
      </c>
      <c r="L4">
        <f>AVERAGE(H4:J4)</f>
        <v>4.5666666666666664</v>
      </c>
    </row>
    <row r="5" spans="1:12" x14ac:dyDescent="0.3">
      <c r="A5">
        <v>10</v>
      </c>
      <c r="B5">
        <v>4</v>
      </c>
      <c r="C5">
        <v>3.8</v>
      </c>
      <c r="D5">
        <v>3.7</v>
      </c>
      <c r="E5" s="2">
        <f t="shared" ref="E5:E11" si="0">_xlfn.STDEV.P(B5:D5)</f>
        <v>0.12472191289246468</v>
      </c>
      <c r="F5">
        <f t="shared" ref="F5:F33" si="1">AVERAGE(B5:D5)</f>
        <v>3.8333333333333335</v>
      </c>
      <c r="G5">
        <v>10</v>
      </c>
      <c r="H5">
        <v>5</v>
      </c>
      <c r="I5">
        <v>6.2</v>
      </c>
      <c r="J5">
        <v>6.2</v>
      </c>
      <c r="K5" s="2">
        <f t="shared" ref="K5:K11" si="2">_xlfn.STDEV.P(H5:J5)</f>
        <v>0.56568542494923812</v>
      </c>
      <c r="L5">
        <f t="shared" ref="L5:L30" si="3">AVERAGE(H5:J5)</f>
        <v>5.8</v>
      </c>
    </row>
    <row r="6" spans="1:12" x14ac:dyDescent="0.3">
      <c r="A6">
        <v>20</v>
      </c>
      <c r="B6">
        <v>6</v>
      </c>
      <c r="C6">
        <v>6.1</v>
      </c>
      <c r="D6">
        <v>5.6</v>
      </c>
      <c r="E6" s="2">
        <f t="shared" si="0"/>
        <v>0.21602468994692872</v>
      </c>
      <c r="F6">
        <f t="shared" si="1"/>
        <v>5.8999999999999995</v>
      </c>
      <c r="G6">
        <v>20</v>
      </c>
      <c r="H6">
        <v>8</v>
      </c>
      <c r="I6">
        <v>8</v>
      </c>
      <c r="J6">
        <v>8.4</v>
      </c>
      <c r="K6" s="2">
        <f t="shared" si="2"/>
        <v>0.18856180831641284</v>
      </c>
      <c r="L6">
        <f t="shared" si="3"/>
        <v>8.1333333333333329</v>
      </c>
    </row>
    <row r="7" spans="1:12" x14ac:dyDescent="0.3">
      <c r="A7">
        <v>30</v>
      </c>
      <c r="B7">
        <v>7</v>
      </c>
      <c r="C7">
        <v>7</v>
      </c>
      <c r="D7">
        <v>7.2</v>
      </c>
      <c r="E7" s="2">
        <f t="shared" si="0"/>
        <v>9.4280904158206419E-2</v>
      </c>
      <c r="F7">
        <f t="shared" si="1"/>
        <v>7.0666666666666664</v>
      </c>
      <c r="G7">
        <v>30</v>
      </c>
      <c r="H7">
        <v>10.3</v>
      </c>
      <c r="I7">
        <v>10</v>
      </c>
      <c r="J7">
        <v>9.1999999999999993</v>
      </c>
      <c r="K7" s="2">
        <f t="shared" si="2"/>
        <v>0.4642796092394712</v>
      </c>
      <c r="L7">
        <f t="shared" si="3"/>
        <v>9.8333333333333339</v>
      </c>
    </row>
    <row r="8" spans="1:12" x14ac:dyDescent="0.3">
      <c r="A8">
        <v>60</v>
      </c>
      <c r="B8">
        <v>9.5</v>
      </c>
      <c r="C8">
        <v>8.6999999999999993</v>
      </c>
      <c r="D8">
        <v>8.3000000000000007</v>
      </c>
      <c r="E8" s="2">
        <f t="shared" si="0"/>
        <v>0.4988876515698587</v>
      </c>
      <c r="F8">
        <f t="shared" si="1"/>
        <v>8.8333333333333339</v>
      </c>
      <c r="G8">
        <v>60</v>
      </c>
      <c r="H8">
        <v>11.2</v>
      </c>
      <c r="I8">
        <v>11</v>
      </c>
      <c r="J8">
        <v>10.5</v>
      </c>
      <c r="K8" s="2">
        <f t="shared" si="2"/>
        <v>0.29439202887759464</v>
      </c>
      <c r="L8">
        <f t="shared" si="3"/>
        <v>10.9</v>
      </c>
    </row>
    <row r="9" spans="1:12" ht="15" customHeight="1" x14ac:dyDescent="0.3">
      <c r="A9">
        <v>90</v>
      </c>
      <c r="B9">
        <v>10.199999999999999</v>
      </c>
      <c r="C9">
        <v>9.6</v>
      </c>
      <c r="D9">
        <v>9.1999999999999993</v>
      </c>
      <c r="E9" s="2">
        <f t="shared" si="0"/>
        <v>0.41096093353126506</v>
      </c>
      <c r="F9">
        <f t="shared" si="1"/>
        <v>9.6666666666666661</v>
      </c>
      <c r="G9">
        <v>90</v>
      </c>
      <c r="H9">
        <v>12</v>
      </c>
      <c r="I9">
        <v>11.8</v>
      </c>
      <c r="J9">
        <v>11</v>
      </c>
      <c r="K9" s="2">
        <f t="shared" si="2"/>
        <v>0.43204937989385744</v>
      </c>
      <c r="L9">
        <f t="shared" si="3"/>
        <v>11.6</v>
      </c>
    </row>
    <row r="10" spans="1:12" x14ac:dyDescent="0.3">
      <c r="A10">
        <v>120</v>
      </c>
      <c r="B10">
        <v>11</v>
      </c>
      <c r="C10">
        <v>11.2</v>
      </c>
      <c r="D10">
        <v>10.8</v>
      </c>
      <c r="E10" s="2">
        <f t="shared" si="0"/>
        <v>0.16329931618554464</v>
      </c>
      <c r="F10">
        <f t="shared" si="1"/>
        <v>11</v>
      </c>
      <c r="G10">
        <v>120</v>
      </c>
      <c r="H10">
        <v>14</v>
      </c>
      <c r="I10">
        <v>13.7</v>
      </c>
      <c r="J10">
        <v>14.1</v>
      </c>
      <c r="K10" s="2">
        <f t="shared" si="2"/>
        <v>0.16996731711975971</v>
      </c>
      <c r="L10">
        <f t="shared" si="3"/>
        <v>13.933333333333332</v>
      </c>
    </row>
    <row r="11" spans="1:12" x14ac:dyDescent="0.3">
      <c r="A11">
        <v>150</v>
      </c>
      <c r="B11">
        <v>13</v>
      </c>
      <c r="C11">
        <v>13.2</v>
      </c>
      <c r="D11">
        <v>12.7</v>
      </c>
      <c r="E11" s="2">
        <f t="shared" si="0"/>
        <v>0.20548046676563259</v>
      </c>
      <c r="F11">
        <f t="shared" si="1"/>
        <v>12.966666666666667</v>
      </c>
      <c r="G11">
        <v>150</v>
      </c>
      <c r="H11">
        <v>16.2</v>
      </c>
      <c r="I11">
        <v>16</v>
      </c>
      <c r="J11">
        <v>15.9</v>
      </c>
      <c r="K11" s="2">
        <f t="shared" si="2"/>
        <v>0.12472191289246427</v>
      </c>
      <c r="L11">
        <f t="shared" si="3"/>
        <v>16.033333333333335</v>
      </c>
    </row>
    <row r="12" spans="1:12" x14ac:dyDescent="0.3">
      <c r="A12">
        <v>180</v>
      </c>
      <c r="B12">
        <v>15</v>
      </c>
      <c r="F12">
        <f t="shared" si="1"/>
        <v>15</v>
      </c>
      <c r="G12">
        <v>180</v>
      </c>
      <c r="H12">
        <v>18</v>
      </c>
      <c r="L12">
        <f t="shared" si="3"/>
        <v>18</v>
      </c>
    </row>
    <row r="13" spans="1:12" x14ac:dyDescent="0.3">
      <c r="A13" t="s">
        <v>2</v>
      </c>
      <c r="G13" t="s">
        <v>2</v>
      </c>
    </row>
    <row r="14" spans="1:12" x14ac:dyDescent="0.3">
      <c r="A14" s="1" t="s">
        <v>4</v>
      </c>
      <c r="B14" s="1" t="s">
        <v>6</v>
      </c>
      <c r="G14" s="1" t="s">
        <v>5</v>
      </c>
      <c r="H14" s="1" t="s">
        <v>6</v>
      </c>
    </row>
    <row r="15" spans="1:12" x14ac:dyDescent="0.3">
      <c r="A15">
        <v>0</v>
      </c>
      <c r="B15">
        <v>2</v>
      </c>
      <c r="C15">
        <v>2.2000000000000002</v>
      </c>
      <c r="D15">
        <v>3</v>
      </c>
      <c r="E15" s="2">
        <f t="shared" ref="E15:E22" si="4">_xlfn.STDEV.P(B15:D15)</f>
        <v>0.43204937989385639</v>
      </c>
      <c r="F15">
        <f t="shared" si="1"/>
        <v>2.4</v>
      </c>
      <c r="G15">
        <v>0</v>
      </c>
      <c r="H15">
        <v>3.8</v>
      </c>
      <c r="I15">
        <v>3.6</v>
      </c>
      <c r="J15">
        <v>3.7</v>
      </c>
      <c r="K15" s="2">
        <f t="shared" ref="K15:K20" si="5">_xlfn.STDEV.P(H15:J15)</f>
        <v>8.1649658092772498E-2</v>
      </c>
      <c r="L15">
        <f t="shared" si="3"/>
        <v>3.7000000000000006</v>
      </c>
    </row>
    <row r="16" spans="1:12" x14ac:dyDescent="0.3">
      <c r="A16">
        <v>10</v>
      </c>
      <c r="B16">
        <v>3.5</v>
      </c>
      <c r="C16">
        <v>4</v>
      </c>
      <c r="D16">
        <v>5</v>
      </c>
      <c r="E16" s="2">
        <f t="shared" si="4"/>
        <v>0.62360956446232352</v>
      </c>
      <c r="F16">
        <f t="shared" si="1"/>
        <v>4.166666666666667</v>
      </c>
      <c r="G16">
        <v>10</v>
      </c>
      <c r="H16">
        <v>5.7</v>
      </c>
      <c r="I16">
        <v>5.6</v>
      </c>
      <c r="J16">
        <v>5.7</v>
      </c>
      <c r="K16" s="2">
        <f t="shared" si="5"/>
        <v>4.7140452079103425E-2</v>
      </c>
      <c r="L16">
        <f t="shared" si="3"/>
        <v>5.666666666666667</v>
      </c>
    </row>
    <row r="17" spans="1:12" x14ac:dyDescent="0.3">
      <c r="A17">
        <v>20</v>
      </c>
      <c r="B17">
        <v>5</v>
      </c>
      <c r="C17">
        <v>4.8</v>
      </c>
      <c r="D17">
        <v>5.2</v>
      </c>
      <c r="E17" s="2">
        <f t="shared" si="4"/>
        <v>0.16329931618554536</v>
      </c>
      <c r="F17">
        <f t="shared" si="1"/>
        <v>5</v>
      </c>
      <c r="G17">
        <v>20</v>
      </c>
      <c r="H17">
        <v>7.6</v>
      </c>
      <c r="I17">
        <v>7.4</v>
      </c>
      <c r="J17">
        <v>7.5</v>
      </c>
      <c r="K17" s="2">
        <f t="shared" si="5"/>
        <v>8.1649658092772318E-2</v>
      </c>
      <c r="L17">
        <f t="shared" si="3"/>
        <v>7.5</v>
      </c>
    </row>
    <row r="18" spans="1:12" x14ac:dyDescent="0.3">
      <c r="A18">
        <v>30</v>
      </c>
      <c r="B18">
        <v>8</v>
      </c>
      <c r="C18">
        <v>6.5</v>
      </c>
      <c r="D18">
        <v>9</v>
      </c>
      <c r="E18" s="2">
        <f t="shared" si="4"/>
        <v>1.0274023338281628</v>
      </c>
      <c r="F18">
        <f t="shared" si="1"/>
        <v>7.833333333333333</v>
      </c>
      <c r="G18">
        <v>30</v>
      </c>
      <c r="H18">
        <v>10.5</v>
      </c>
      <c r="I18">
        <v>10.3</v>
      </c>
      <c r="J18">
        <v>10.5</v>
      </c>
      <c r="K18" s="2">
        <f t="shared" si="5"/>
        <v>9.4280904158206003E-2</v>
      </c>
      <c r="L18">
        <f t="shared" si="3"/>
        <v>10.433333333333334</v>
      </c>
    </row>
    <row r="19" spans="1:12" x14ac:dyDescent="0.3">
      <c r="A19">
        <v>60</v>
      </c>
      <c r="B19">
        <v>9</v>
      </c>
      <c r="C19">
        <v>7.1</v>
      </c>
      <c r="D19">
        <v>10</v>
      </c>
      <c r="E19" s="2">
        <f t="shared" si="4"/>
        <v>1.2027745701779136</v>
      </c>
      <c r="F19">
        <f t="shared" si="1"/>
        <v>8.7000000000000011</v>
      </c>
      <c r="G19">
        <v>60</v>
      </c>
      <c r="H19">
        <v>13.5</v>
      </c>
      <c r="I19">
        <v>13.6</v>
      </c>
      <c r="J19">
        <v>13.4</v>
      </c>
      <c r="K19" s="2">
        <f t="shared" si="5"/>
        <v>8.1649658092772318E-2</v>
      </c>
      <c r="L19">
        <f t="shared" si="3"/>
        <v>13.5</v>
      </c>
    </row>
    <row r="20" spans="1:12" x14ac:dyDescent="0.3">
      <c r="A20">
        <v>90</v>
      </c>
      <c r="B20">
        <v>9.5</v>
      </c>
      <c r="C20">
        <v>7.5</v>
      </c>
      <c r="D20">
        <v>10.3</v>
      </c>
      <c r="E20" s="2">
        <f t="shared" si="4"/>
        <v>1.1775681155103805</v>
      </c>
      <c r="F20">
        <f t="shared" si="1"/>
        <v>9.1</v>
      </c>
      <c r="G20">
        <v>90</v>
      </c>
      <c r="H20">
        <v>15.8</v>
      </c>
      <c r="I20">
        <v>15.7</v>
      </c>
      <c r="J20">
        <v>15.7</v>
      </c>
      <c r="K20" s="2">
        <f t="shared" si="5"/>
        <v>4.7140452079103841E-2</v>
      </c>
      <c r="L20">
        <f t="shared" si="3"/>
        <v>15.733333333333334</v>
      </c>
    </row>
    <row r="21" spans="1:12" x14ac:dyDescent="0.3">
      <c r="A21">
        <v>120</v>
      </c>
      <c r="B21">
        <v>9.8000000000000007</v>
      </c>
      <c r="C21">
        <v>7.8</v>
      </c>
      <c r="D21">
        <v>10.8</v>
      </c>
      <c r="E21" s="2">
        <f t="shared" si="4"/>
        <v>1.247219128924647</v>
      </c>
      <c r="F21">
        <f t="shared" si="1"/>
        <v>9.4666666666666668</v>
      </c>
    </row>
    <row r="22" spans="1:12" x14ac:dyDescent="0.3">
      <c r="A22">
        <v>150</v>
      </c>
      <c r="B22">
        <v>10.199999999999999</v>
      </c>
      <c r="C22">
        <v>8</v>
      </c>
      <c r="D22">
        <v>11.3</v>
      </c>
      <c r="E22" s="2">
        <f t="shared" si="4"/>
        <v>1.3719410418171141</v>
      </c>
      <c r="F22">
        <f t="shared" si="1"/>
        <v>9.8333333333333339</v>
      </c>
      <c r="G22" t="s">
        <v>3</v>
      </c>
    </row>
    <row r="23" spans="1:12" x14ac:dyDescent="0.3">
      <c r="G23" s="1" t="s">
        <v>5</v>
      </c>
      <c r="H23" s="1" t="s">
        <v>6</v>
      </c>
    </row>
    <row r="24" spans="1:12" x14ac:dyDescent="0.3">
      <c r="A24" t="s">
        <v>3</v>
      </c>
      <c r="G24">
        <v>0</v>
      </c>
      <c r="H24">
        <v>2.9</v>
      </c>
      <c r="I24">
        <v>2.9</v>
      </c>
      <c r="J24">
        <v>2.7</v>
      </c>
      <c r="K24" s="2">
        <f t="shared" ref="K24:K30" si="6">_xlfn.STDEV.P(H24:J24)</f>
        <v>9.4280904158206211E-2</v>
      </c>
      <c r="L24">
        <f t="shared" si="3"/>
        <v>2.8333333333333335</v>
      </c>
    </row>
    <row r="25" spans="1:12" x14ac:dyDescent="0.3">
      <c r="A25" s="1" t="s">
        <v>4</v>
      </c>
      <c r="B25" s="1" t="s">
        <v>6</v>
      </c>
      <c r="G25">
        <v>10</v>
      </c>
      <c r="H25">
        <v>6</v>
      </c>
      <c r="I25">
        <v>5.8</v>
      </c>
      <c r="J25">
        <v>6.2</v>
      </c>
      <c r="K25" s="2">
        <f t="shared" si="6"/>
        <v>0.16329931618554536</v>
      </c>
      <c r="L25">
        <f t="shared" si="3"/>
        <v>6</v>
      </c>
    </row>
    <row r="26" spans="1:12" x14ac:dyDescent="0.3">
      <c r="A26">
        <v>0</v>
      </c>
      <c r="B26">
        <v>1.5</v>
      </c>
      <c r="C26">
        <v>2.5</v>
      </c>
      <c r="D26">
        <v>1.6</v>
      </c>
      <c r="E26" s="2">
        <f t="shared" ref="E26:E31" si="7">_xlfn.STDEV.P(B26:D26)</f>
        <v>0.4496912521077352</v>
      </c>
      <c r="F26">
        <f t="shared" si="1"/>
        <v>1.8666666666666665</v>
      </c>
      <c r="G26">
        <v>20</v>
      </c>
      <c r="H26">
        <v>8</v>
      </c>
      <c r="I26">
        <v>7.8</v>
      </c>
      <c r="J26">
        <v>8</v>
      </c>
      <c r="K26" s="2">
        <f t="shared" si="6"/>
        <v>9.4280904158206433E-2</v>
      </c>
      <c r="L26">
        <f t="shared" si="3"/>
        <v>7.9333333333333336</v>
      </c>
    </row>
    <row r="27" spans="1:12" x14ac:dyDescent="0.3">
      <c r="A27">
        <v>10</v>
      </c>
      <c r="B27">
        <v>2</v>
      </c>
      <c r="C27">
        <v>1.9</v>
      </c>
      <c r="D27">
        <v>4</v>
      </c>
      <c r="E27" s="2">
        <f t="shared" si="7"/>
        <v>0.96724120856979356</v>
      </c>
      <c r="F27">
        <f t="shared" si="1"/>
        <v>2.6333333333333333</v>
      </c>
      <c r="G27">
        <v>30</v>
      </c>
      <c r="H27">
        <v>10</v>
      </c>
      <c r="I27">
        <v>10.3</v>
      </c>
      <c r="J27">
        <v>9.8000000000000007</v>
      </c>
      <c r="K27" s="2">
        <f t="shared" si="6"/>
        <v>0.20548046676563259</v>
      </c>
      <c r="L27">
        <f t="shared" si="3"/>
        <v>10.033333333333333</v>
      </c>
    </row>
    <row r="28" spans="1:12" x14ac:dyDescent="0.3">
      <c r="A28">
        <v>20</v>
      </c>
      <c r="B28">
        <v>2.4</v>
      </c>
      <c r="C28">
        <v>6</v>
      </c>
      <c r="D28">
        <v>5.8</v>
      </c>
      <c r="E28" s="2">
        <f t="shared" si="7"/>
        <v>1.6519348924485167</v>
      </c>
      <c r="F28">
        <f t="shared" si="1"/>
        <v>4.7333333333333334</v>
      </c>
      <c r="G28">
        <v>60</v>
      </c>
      <c r="H28">
        <v>12</v>
      </c>
      <c r="I28">
        <v>12.2</v>
      </c>
      <c r="J28">
        <v>11.7</v>
      </c>
      <c r="K28" s="2">
        <f t="shared" si="6"/>
        <v>0.20548046676563259</v>
      </c>
      <c r="L28">
        <f t="shared" si="3"/>
        <v>11.966666666666667</v>
      </c>
    </row>
    <row r="29" spans="1:12" x14ac:dyDescent="0.3">
      <c r="A29">
        <v>30</v>
      </c>
      <c r="B29">
        <v>8</v>
      </c>
      <c r="C29">
        <v>8.1999999999999993</v>
      </c>
      <c r="D29">
        <v>6.8</v>
      </c>
      <c r="E29" s="2">
        <f>_xlfn.STDEV.P(B29:D29)</f>
        <v>0.61824123303304679</v>
      </c>
      <c r="F29">
        <f t="shared" si="1"/>
        <v>7.666666666666667</v>
      </c>
      <c r="G29">
        <v>90</v>
      </c>
      <c r="H29">
        <v>14.3</v>
      </c>
      <c r="I29">
        <v>14</v>
      </c>
      <c r="J29">
        <v>14.2</v>
      </c>
      <c r="K29" s="2">
        <f t="shared" si="6"/>
        <v>0.12472191289246491</v>
      </c>
      <c r="L29">
        <f t="shared" si="3"/>
        <v>14.166666666666666</v>
      </c>
    </row>
    <row r="30" spans="1:12" x14ac:dyDescent="0.3">
      <c r="A30">
        <v>60</v>
      </c>
      <c r="B30">
        <v>10</v>
      </c>
      <c r="C30">
        <v>10</v>
      </c>
      <c r="D30">
        <v>8.5</v>
      </c>
      <c r="E30" s="2">
        <f>_xlfn.STDEV.P(B30:D30)</f>
        <v>0.70710678118654757</v>
      </c>
      <c r="F30">
        <f t="shared" si="1"/>
        <v>9.5</v>
      </c>
      <c r="G30">
        <v>120</v>
      </c>
      <c r="H30">
        <v>16</v>
      </c>
      <c r="I30">
        <v>16</v>
      </c>
      <c r="J30">
        <v>16.100000000000001</v>
      </c>
      <c r="K30" s="2">
        <f t="shared" si="6"/>
        <v>4.7140452079103841E-2</v>
      </c>
      <c r="L30">
        <f t="shared" si="3"/>
        <v>16.033333333333335</v>
      </c>
    </row>
    <row r="31" spans="1:12" x14ac:dyDescent="0.3">
      <c r="A31">
        <v>90</v>
      </c>
      <c r="B31">
        <v>9</v>
      </c>
      <c r="C31">
        <v>11</v>
      </c>
      <c r="D31">
        <v>11.2</v>
      </c>
      <c r="E31" s="2">
        <f>_xlfn.STDEV.P(B31:D31)</f>
        <v>0.99331096171675581</v>
      </c>
      <c r="F31">
        <f t="shared" si="1"/>
        <v>10.4</v>
      </c>
      <c r="G31">
        <v>150</v>
      </c>
      <c r="H31">
        <v>18</v>
      </c>
    </row>
    <row r="32" spans="1:12" x14ac:dyDescent="0.3">
      <c r="A32">
        <v>120</v>
      </c>
      <c r="B32">
        <v>11</v>
      </c>
      <c r="C32">
        <v>12</v>
      </c>
      <c r="D32">
        <v>10.8</v>
      </c>
      <c r="E32" s="2">
        <f>_xlfn.STDEV.P(B32:D32)</f>
        <v>0.52493385826745387</v>
      </c>
      <c r="F32">
        <f t="shared" si="1"/>
        <v>11.266666666666666</v>
      </c>
    </row>
    <row r="33" spans="1:6" x14ac:dyDescent="0.3">
      <c r="A33">
        <v>150</v>
      </c>
      <c r="B33">
        <v>13</v>
      </c>
      <c r="C33">
        <v>12.8</v>
      </c>
      <c r="D33">
        <v>13</v>
      </c>
      <c r="E33" s="2">
        <f>_xlfn.STDEV.P(B33:D33)</f>
        <v>9.4280904158206003E-2</v>
      </c>
      <c r="F33">
        <f t="shared" si="1"/>
        <v>12.933333333333332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 Shuai</dc:creator>
  <cp:lastModifiedBy>Yuxin Shuai</cp:lastModifiedBy>
  <dcterms:created xsi:type="dcterms:W3CDTF">2015-06-05T18:19:34Z</dcterms:created>
  <dcterms:modified xsi:type="dcterms:W3CDTF">2026-08-08T03:44:51Z</dcterms:modified>
</cp:coreProperties>
</file>