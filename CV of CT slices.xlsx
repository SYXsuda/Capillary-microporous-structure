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615\Desktop\"/>
    </mc:Choice>
  </mc:AlternateContent>
  <xr:revisionPtr revIDLastSave="0" documentId="13_ncr:1_{247DBC9C-9C3A-48E8-9DE7-E37276F7BD42}" xr6:coauthVersionLast="47" xr6:coauthVersionMax="47" xr10:uidLastSave="{00000000-0000-0000-0000-000000000000}"/>
  <bookViews>
    <workbookView xWindow="25510" yWindow="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B45" i="1"/>
  <c r="B46" i="1"/>
  <c r="J29" i="1"/>
  <c r="J28" i="1"/>
  <c r="J27" i="1"/>
  <c r="G50" i="1"/>
  <c r="D46" i="1"/>
  <c r="G49" i="1"/>
  <c r="G48" i="1"/>
  <c r="D44" i="1"/>
  <c r="D43" i="1"/>
</calcChain>
</file>

<file path=xl/sharedStrings.xml><?xml version="1.0" encoding="utf-8"?>
<sst xmlns="http://schemas.openxmlformats.org/spreadsheetml/2006/main" count="6" uniqueCount="5">
  <si>
    <t>pore area</t>
    <phoneticPr fontId="1" type="noConversion"/>
  </si>
  <si>
    <t>no-pattern</t>
    <phoneticPr fontId="1" type="noConversion"/>
  </si>
  <si>
    <t>177-h3</t>
    <phoneticPr fontId="1" type="noConversion"/>
  </si>
  <si>
    <t>stripe-no-shift</t>
    <phoneticPr fontId="1" type="noConversion"/>
  </si>
  <si>
    <t>Stripe-shift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</si>
</sst>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B45" sqref="B45"/>
    </sheetView>
  </sheetViews>
  <sheetFormatPr defaultRowHeight="14" x14ac:dyDescent="0.3"/>
  <cols>
    <col min="3" max="3" width="12.9140625" bestFit="1" customWidth="1"/>
  </cols>
  <sheetData>
    <row r="1" spans="1:10" x14ac:dyDescent="0.3">
      <c r="A1" t="s">
        <v>4</v>
      </c>
      <c r="C1" t="s">
        <v>3</v>
      </c>
      <c r="D1" t="s">
        <v>0</v>
      </c>
      <c r="F1" t="s">
        <v>1</v>
      </c>
      <c r="G1" t="s">
        <v>0</v>
      </c>
      <c r="I1" t="s">
        <v>2</v>
      </c>
    </row>
    <row r="2" spans="1:10" x14ac:dyDescent="0.3">
      <c r="B2">
        <v>9.3859999999999992</v>
      </c>
      <c r="C2">
        <v>1</v>
      </c>
      <c r="D2">
        <v>7.4470000000000001</v>
      </c>
      <c r="F2">
        <v>1</v>
      </c>
      <c r="G2">
        <v>10.113</v>
      </c>
      <c r="I2">
        <v>1</v>
      </c>
      <c r="J2">
        <v>15.308999999999999</v>
      </c>
    </row>
    <row r="3" spans="1:10" x14ac:dyDescent="0.3">
      <c r="B3">
        <v>9.7420000000000009</v>
      </c>
      <c r="C3">
        <v>2</v>
      </c>
      <c r="D3">
        <v>7.5579999999999998</v>
      </c>
      <c r="F3">
        <v>2</v>
      </c>
      <c r="G3">
        <v>11.529</v>
      </c>
      <c r="I3">
        <v>2</v>
      </c>
      <c r="J3">
        <v>18.978999999999999</v>
      </c>
    </row>
    <row r="4" spans="1:10" x14ac:dyDescent="0.3">
      <c r="B4">
        <v>2.5139999999999998</v>
      </c>
      <c r="C4">
        <v>3</v>
      </c>
      <c r="D4">
        <v>1.554</v>
      </c>
      <c r="F4">
        <v>3</v>
      </c>
      <c r="G4">
        <v>7.7080000000000002</v>
      </c>
      <c r="I4">
        <v>3</v>
      </c>
      <c r="J4">
        <v>16.367000000000001</v>
      </c>
    </row>
    <row r="5" spans="1:10" x14ac:dyDescent="0.3">
      <c r="B5">
        <v>1.6930000000000001</v>
      </c>
      <c r="C5">
        <v>4</v>
      </c>
      <c r="D5">
        <v>0.99099999999999999</v>
      </c>
      <c r="F5">
        <v>4</v>
      </c>
      <c r="G5">
        <v>9.17</v>
      </c>
      <c r="I5">
        <v>4</v>
      </c>
      <c r="J5">
        <v>15</v>
      </c>
    </row>
    <row r="6" spans="1:10" x14ac:dyDescent="0.3">
      <c r="B6">
        <v>10.428000000000001</v>
      </c>
      <c r="C6">
        <v>5</v>
      </c>
      <c r="D6">
        <v>8.6929999999999996</v>
      </c>
      <c r="F6">
        <v>5</v>
      </c>
      <c r="G6">
        <v>9.5670000000000002</v>
      </c>
      <c r="I6">
        <v>5</v>
      </c>
      <c r="J6">
        <v>16.832999999999998</v>
      </c>
    </row>
    <row r="7" spans="1:10" x14ac:dyDescent="0.3">
      <c r="B7">
        <v>12.183</v>
      </c>
      <c r="C7">
        <v>6</v>
      </c>
      <c r="D7">
        <v>9.7279999999999998</v>
      </c>
      <c r="F7">
        <v>6</v>
      </c>
      <c r="G7">
        <v>7.641</v>
      </c>
      <c r="I7">
        <v>6</v>
      </c>
      <c r="J7">
        <v>17.762</v>
      </c>
    </row>
    <row r="8" spans="1:10" x14ac:dyDescent="0.3">
      <c r="B8">
        <v>5.1669999999999998</v>
      </c>
      <c r="C8">
        <v>7</v>
      </c>
      <c r="D8">
        <v>3.972</v>
      </c>
      <c r="F8">
        <v>7</v>
      </c>
      <c r="G8">
        <v>8.4459999999999997</v>
      </c>
      <c r="I8">
        <v>7</v>
      </c>
      <c r="J8">
        <v>18.84</v>
      </c>
    </row>
    <row r="9" spans="1:10" x14ac:dyDescent="0.3">
      <c r="B9">
        <v>7.2939999999999996</v>
      </c>
      <c r="C9">
        <v>8</v>
      </c>
      <c r="D9">
        <v>5.9009999999999998</v>
      </c>
      <c r="F9">
        <v>8</v>
      </c>
      <c r="G9">
        <v>8.5020000000000007</v>
      </c>
      <c r="I9">
        <v>8</v>
      </c>
      <c r="J9">
        <v>17.03</v>
      </c>
    </row>
    <row r="10" spans="1:10" x14ac:dyDescent="0.3">
      <c r="B10">
        <v>13.683999999999999</v>
      </c>
      <c r="C10">
        <v>9</v>
      </c>
      <c r="D10">
        <v>11.34</v>
      </c>
      <c r="F10">
        <v>9</v>
      </c>
      <c r="G10">
        <v>6.9829999999999997</v>
      </c>
      <c r="I10">
        <v>9</v>
      </c>
      <c r="J10">
        <v>15.771000000000001</v>
      </c>
    </row>
    <row r="11" spans="1:10" x14ac:dyDescent="0.3">
      <c r="B11">
        <v>20.516999999999999</v>
      </c>
      <c r="C11">
        <v>10</v>
      </c>
      <c r="D11">
        <v>17.431000000000001</v>
      </c>
      <c r="F11">
        <v>10</v>
      </c>
      <c r="G11">
        <v>9.3620000000000001</v>
      </c>
      <c r="I11">
        <v>10</v>
      </c>
      <c r="J11">
        <v>16.042999999999999</v>
      </c>
    </row>
    <row r="12" spans="1:10" x14ac:dyDescent="0.3">
      <c r="B12">
        <v>16.483000000000001</v>
      </c>
      <c r="C12">
        <v>11</v>
      </c>
      <c r="D12">
        <v>13.906000000000001</v>
      </c>
      <c r="F12">
        <v>11</v>
      </c>
      <c r="G12">
        <v>10.834</v>
      </c>
      <c r="I12">
        <v>11</v>
      </c>
      <c r="J12">
        <v>13.262</v>
      </c>
    </row>
    <row r="13" spans="1:10" x14ac:dyDescent="0.3">
      <c r="B13">
        <v>5.4260000000000002</v>
      </c>
      <c r="C13">
        <v>12</v>
      </c>
      <c r="D13">
        <v>4.149</v>
      </c>
      <c r="F13">
        <v>12</v>
      </c>
      <c r="G13">
        <v>10.548999999999999</v>
      </c>
      <c r="I13">
        <v>12</v>
      </c>
      <c r="J13">
        <v>15.14</v>
      </c>
    </row>
    <row r="14" spans="1:10" x14ac:dyDescent="0.3">
      <c r="B14">
        <v>10.936</v>
      </c>
      <c r="C14">
        <v>13</v>
      </c>
      <c r="D14">
        <v>9.6170000000000009</v>
      </c>
      <c r="F14">
        <v>13</v>
      </c>
      <c r="G14">
        <v>8.4009999999999998</v>
      </c>
      <c r="I14">
        <v>13</v>
      </c>
      <c r="J14">
        <v>12.750999999999999</v>
      </c>
    </row>
    <row r="15" spans="1:10" x14ac:dyDescent="0.3">
      <c r="B15">
        <v>24.183</v>
      </c>
      <c r="C15">
        <v>14</v>
      </c>
      <c r="D15">
        <v>21.356999999999999</v>
      </c>
      <c r="F15">
        <v>14</v>
      </c>
      <c r="G15">
        <v>6.7160000000000002</v>
      </c>
      <c r="I15">
        <v>14</v>
      </c>
      <c r="J15">
        <v>14.773999999999999</v>
      </c>
    </row>
    <row r="16" spans="1:10" x14ac:dyDescent="0.3">
      <c r="B16">
        <v>6.9269999999999996</v>
      </c>
      <c r="C16">
        <v>15</v>
      </c>
      <c r="D16">
        <v>6.0330000000000004</v>
      </c>
      <c r="F16">
        <v>15</v>
      </c>
      <c r="G16">
        <v>10.362</v>
      </c>
      <c r="I16">
        <v>15</v>
      </c>
      <c r="J16">
        <v>17.125</v>
      </c>
    </row>
    <row r="17" spans="2:10" x14ac:dyDescent="0.3">
      <c r="B17">
        <v>17.462</v>
      </c>
      <c r="C17">
        <v>16</v>
      </c>
      <c r="D17">
        <v>15.694000000000001</v>
      </c>
      <c r="F17">
        <v>16</v>
      </c>
      <c r="G17">
        <v>7.4329999999999998</v>
      </c>
      <c r="I17">
        <v>16</v>
      </c>
      <c r="J17">
        <v>14.553000000000001</v>
      </c>
    </row>
    <row r="18" spans="2:10" x14ac:dyDescent="0.3">
      <c r="B18">
        <v>15.384</v>
      </c>
      <c r="C18">
        <v>17</v>
      </c>
      <c r="D18">
        <v>13.555</v>
      </c>
      <c r="F18">
        <v>17</v>
      </c>
      <c r="G18">
        <v>8.4130000000000003</v>
      </c>
      <c r="I18">
        <v>17</v>
      </c>
      <c r="J18">
        <v>17.71</v>
      </c>
    </row>
    <row r="19" spans="2:10" x14ac:dyDescent="0.3">
      <c r="B19">
        <v>28.167000000000002</v>
      </c>
      <c r="C19">
        <v>18</v>
      </c>
      <c r="D19">
        <v>25.411999999999999</v>
      </c>
      <c r="F19">
        <v>18</v>
      </c>
      <c r="G19">
        <v>6.1559999999999997</v>
      </c>
      <c r="I19">
        <v>18</v>
      </c>
      <c r="J19">
        <v>14.648</v>
      </c>
    </row>
    <row r="20" spans="2:10" x14ac:dyDescent="0.3">
      <c r="B20">
        <v>13.864000000000001</v>
      </c>
      <c r="C20">
        <v>19</v>
      </c>
      <c r="D20">
        <v>12.31</v>
      </c>
      <c r="F20">
        <v>19</v>
      </c>
      <c r="G20">
        <v>5.5540000000000003</v>
      </c>
      <c r="I20">
        <v>19</v>
      </c>
      <c r="J20">
        <v>14.128</v>
      </c>
    </row>
    <row r="21" spans="2:10" x14ac:dyDescent="0.3">
      <c r="B21">
        <v>10.742000000000001</v>
      </c>
      <c r="C21">
        <v>20</v>
      </c>
      <c r="D21">
        <v>9.5630000000000006</v>
      </c>
      <c r="F21">
        <v>20</v>
      </c>
      <c r="G21">
        <v>7.5389999999999997</v>
      </c>
      <c r="I21">
        <v>20</v>
      </c>
      <c r="J21">
        <v>13.295</v>
      </c>
    </row>
    <row r="22" spans="2:10" x14ac:dyDescent="0.3">
      <c r="B22">
        <v>16.280999999999999</v>
      </c>
      <c r="C22">
        <v>21</v>
      </c>
      <c r="D22">
        <v>14.654</v>
      </c>
      <c r="F22">
        <v>21</v>
      </c>
      <c r="G22">
        <v>6.5220000000000002</v>
      </c>
      <c r="I22">
        <v>21</v>
      </c>
      <c r="J22">
        <v>18.512</v>
      </c>
    </row>
    <row r="23" spans="2:10" x14ac:dyDescent="0.3">
      <c r="B23">
        <v>12.754</v>
      </c>
      <c r="C23">
        <v>22</v>
      </c>
      <c r="D23">
        <v>11.141</v>
      </c>
      <c r="F23">
        <v>22</v>
      </c>
      <c r="G23">
        <v>5.4109999999999996</v>
      </c>
      <c r="I23">
        <v>22</v>
      </c>
      <c r="J23">
        <v>12.608000000000001</v>
      </c>
    </row>
    <row r="24" spans="2:10" x14ac:dyDescent="0.3">
      <c r="B24">
        <v>13.926</v>
      </c>
      <c r="C24">
        <v>23</v>
      </c>
      <c r="D24">
        <v>12.345000000000001</v>
      </c>
      <c r="F24">
        <v>23</v>
      </c>
      <c r="G24">
        <v>7.4370000000000003</v>
      </c>
      <c r="I24">
        <v>23</v>
      </c>
      <c r="J24">
        <v>14.222</v>
      </c>
    </row>
    <row r="25" spans="2:10" x14ac:dyDescent="0.3">
      <c r="B25">
        <v>15.894</v>
      </c>
      <c r="C25">
        <v>24</v>
      </c>
      <c r="D25">
        <v>13.542</v>
      </c>
      <c r="F25">
        <v>24</v>
      </c>
      <c r="G25">
        <v>9.2240000000000002</v>
      </c>
      <c r="I25">
        <v>24</v>
      </c>
      <c r="J25">
        <v>18.733000000000001</v>
      </c>
    </row>
    <row r="26" spans="2:10" x14ac:dyDescent="0.3">
      <c r="B26">
        <v>8.9160000000000004</v>
      </c>
      <c r="C26">
        <v>25</v>
      </c>
      <c r="D26">
        <v>7.1079999999999997</v>
      </c>
      <c r="F26">
        <v>25</v>
      </c>
      <c r="G26">
        <v>9.1210000000000004</v>
      </c>
      <c r="I26">
        <v>25</v>
      </c>
      <c r="J26">
        <v>13.079000000000001</v>
      </c>
    </row>
    <row r="27" spans="2:10" x14ac:dyDescent="0.3">
      <c r="B27">
        <v>9.2040000000000006</v>
      </c>
      <c r="C27">
        <v>26</v>
      </c>
      <c r="D27">
        <v>7.38</v>
      </c>
      <c r="F27">
        <v>26</v>
      </c>
      <c r="G27">
        <v>6.226</v>
      </c>
      <c r="J27">
        <f>AVERAGE(J2:J26)</f>
        <v>15.698960000000001</v>
      </c>
    </row>
    <row r="28" spans="2:10" x14ac:dyDescent="0.3">
      <c r="B28">
        <v>5.9729999999999999</v>
      </c>
      <c r="C28">
        <v>27</v>
      </c>
      <c r="D28">
        <v>4.92</v>
      </c>
      <c r="F28">
        <v>27</v>
      </c>
      <c r="G28">
        <v>6.9240000000000004</v>
      </c>
      <c r="J28">
        <f>_xlfn.STDEV.P(J2:J26)</f>
        <v>1.9739006759206361</v>
      </c>
    </row>
    <row r="29" spans="2:10" x14ac:dyDescent="0.3">
      <c r="B29">
        <v>11.586</v>
      </c>
      <c r="C29">
        <v>28</v>
      </c>
      <c r="D29">
        <v>9.7420000000000009</v>
      </c>
      <c r="F29">
        <v>28</v>
      </c>
      <c r="G29">
        <v>8.7880000000000003</v>
      </c>
      <c r="J29">
        <f>J28/J27</f>
        <v>0.12573448661061853</v>
      </c>
    </row>
    <row r="30" spans="2:10" x14ac:dyDescent="0.3">
      <c r="B30">
        <v>17.864000000000001</v>
      </c>
      <c r="C30">
        <v>29</v>
      </c>
      <c r="D30">
        <v>15.532</v>
      </c>
      <c r="F30">
        <v>29</v>
      </c>
      <c r="G30">
        <v>9.3510000000000009</v>
      </c>
    </row>
    <row r="31" spans="2:10" x14ac:dyDescent="0.3">
      <c r="B31">
        <v>7.9260000000000002</v>
      </c>
      <c r="C31">
        <v>30</v>
      </c>
      <c r="D31">
        <v>6.3730000000000002</v>
      </c>
      <c r="F31">
        <v>30</v>
      </c>
      <c r="G31">
        <v>10.393000000000001</v>
      </c>
    </row>
    <row r="32" spans="2:10" x14ac:dyDescent="0.3">
      <c r="B32">
        <v>12.417999999999999</v>
      </c>
      <c r="C32">
        <v>31</v>
      </c>
      <c r="D32">
        <v>10.483000000000001</v>
      </c>
      <c r="F32">
        <v>31</v>
      </c>
      <c r="G32">
        <v>8.6869999999999994</v>
      </c>
    </row>
    <row r="33" spans="2:7" x14ac:dyDescent="0.3">
      <c r="B33">
        <v>21.172999999999998</v>
      </c>
      <c r="C33">
        <v>32</v>
      </c>
      <c r="D33">
        <v>22.898</v>
      </c>
      <c r="F33">
        <v>32</v>
      </c>
      <c r="G33">
        <v>11.291</v>
      </c>
    </row>
    <row r="34" spans="2:7" x14ac:dyDescent="0.3">
      <c r="B34">
        <v>13.263999999999999</v>
      </c>
      <c r="C34">
        <v>33</v>
      </c>
      <c r="D34">
        <v>11.237</v>
      </c>
      <c r="F34">
        <v>33</v>
      </c>
      <c r="G34">
        <v>9.7210000000000001</v>
      </c>
    </row>
    <row r="35" spans="2:7" x14ac:dyDescent="0.3">
      <c r="B35">
        <v>15.843</v>
      </c>
      <c r="C35">
        <v>34</v>
      </c>
      <c r="D35">
        <v>13.682</v>
      </c>
      <c r="F35">
        <v>34</v>
      </c>
      <c r="G35">
        <v>11.162000000000001</v>
      </c>
    </row>
    <row r="36" spans="2:7" x14ac:dyDescent="0.3">
      <c r="B36">
        <v>16.782</v>
      </c>
      <c r="C36">
        <v>35</v>
      </c>
      <c r="D36">
        <v>14.457000000000001</v>
      </c>
      <c r="F36">
        <v>35</v>
      </c>
      <c r="G36">
        <v>10.362</v>
      </c>
    </row>
    <row r="37" spans="2:7" x14ac:dyDescent="0.3">
      <c r="B37">
        <v>12.045999999999999</v>
      </c>
      <c r="C37">
        <v>36</v>
      </c>
      <c r="D37">
        <v>10.365</v>
      </c>
      <c r="F37">
        <v>36</v>
      </c>
      <c r="G37">
        <v>8.516</v>
      </c>
    </row>
    <row r="38" spans="2:7" x14ac:dyDescent="0.3">
      <c r="B38">
        <v>20.718</v>
      </c>
      <c r="C38">
        <v>37</v>
      </c>
      <c r="D38">
        <v>20.271000000000001</v>
      </c>
      <c r="F38">
        <v>37</v>
      </c>
      <c r="G38">
        <v>9.516</v>
      </c>
    </row>
    <row r="39" spans="2:7" x14ac:dyDescent="0.3">
      <c r="B39">
        <v>12.593999999999999</v>
      </c>
      <c r="C39">
        <v>38</v>
      </c>
      <c r="D39">
        <v>10.516999999999999</v>
      </c>
      <c r="F39">
        <v>38</v>
      </c>
      <c r="G39">
        <v>4.359</v>
      </c>
    </row>
    <row r="40" spans="2:7" x14ac:dyDescent="0.3">
      <c r="B40">
        <v>4.2160000000000002</v>
      </c>
      <c r="C40">
        <v>39</v>
      </c>
      <c r="D40">
        <v>3.1619999999999999</v>
      </c>
      <c r="F40">
        <v>39</v>
      </c>
      <c r="G40">
        <v>10.798</v>
      </c>
    </row>
    <row r="41" spans="2:7" x14ac:dyDescent="0.3">
      <c r="B41">
        <v>6.4379999999999997</v>
      </c>
      <c r="C41">
        <v>40</v>
      </c>
      <c r="D41">
        <v>5.19</v>
      </c>
      <c r="F41">
        <v>40</v>
      </c>
      <c r="G41">
        <v>7.7249999999999996</v>
      </c>
    </row>
    <row r="42" spans="2:7" x14ac:dyDescent="0.3">
      <c r="B42">
        <v>7.3819999999999997</v>
      </c>
      <c r="C42">
        <v>41</v>
      </c>
      <c r="D42">
        <v>6.165</v>
      </c>
      <c r="F42">
        <v>41</v>
      </c>
      <c r="G42">
        <v>9.1140000000000008</v>
      </c>
    </row>
    <row r="43" spans="2:7" x14ac:dyDescent="0.3">
      <c r="B43">
        <v>12.967438509999999</v>
      </c>
      <c r="D43">
        <f>AVERAGE(D2:D42)</f>
        <v>10.66768292682927</v>
      </c>
      <c r="F43">
        <v>42</v>
      </c>
      <c r="G43">
        <v>10.59</v>
      </c>
    </row>
    <row r="44" spans="2:7" x14ac:dyDescent="0.3">
      <c r="B44">
        <v>6.8741932669999999</v>
      </c>
      <c r="D44">
        <f>_xlfn.STDEV.P(D2:D42)</f>
        <v>5.5414495613447539</v>
      </c>
      <c r="F44">
        <v>43</v>
      </c>
      <c r="G44">
        <v>7.6950000000000003</v>
      </c>
    </row>
    <row r="45" spans="2:7" x14ac:dyDescent="0.3">
      <c r="B45">
        <f>AVERAGE(B2:B44)</f>
        <v>12.214456552953488</v>
      </c>
      <c r="F45">
        <v>44</v>
      </c>
      <c r="G45">
        <v>8.5459999999999994</v>
      </c>
    </row>
    <row r="46" spans="2:7" x14ac:dyDescent="0.3">
      <c r="B46">
        <f>_xlfn.STDEV.P(B2:B44)</f>
        <v>5.6686823221183982</v>
      </c>
      <c r="D46">
        <f>D44/D43</f>
        <v>0.5194614050074533</v>
      </c>
      <c r="F46">
        <v>45</v>
      </c>
      <c r="G46">
        <v>5.423</v>
      </c>
    </row>
    <row r="47" spans="2:7" x14ac:dyDescent="0.3">
      <c r="B47">
        <f>B46/B45</f>
        <v>0.46409615503914464</v>
      </c>
      <c r="F47">
        <v>46</v>
      </c>
      <c r="G47">
        <v>7.4690000000000003</v>
      </c>
    </row>
    <row r="48" spans="2:7" x14ac:dyDescent="0.3">
      <c r="G48">
        <f>AVERAGE(G2:G47)</f>
        <v>8.5075869565217381</v>
      </c>
    </row>
    <row r="49" spans="7:7" x14ac:dyDescent="0.3">
      <c r="G49">
        <f>_xlfn.STDEV.P(G2:G47)</f>
        <v>1.7302827310572879</v>
      </c>
    </row>
    <row r="50" spans="7:7" x14ac:dyDescent="0.3">
      <c r="G50">
        <f>G49/G48</f>
        <v>0.20338113966979665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Shuai</dc:creator>
  <cp:lastModifiedBy>Yuxin Shuai</cp:lastModifiedBy>
  <dcterms:created xsi:type="dcterms:W3CDTF">2015-06-05T18:19:34Z</dcterms:created>
  <dcterms:modified xsi:type="dcterms:W3CDTF">2026-04-16T14:40:46Z</dcterms:modified>
</cp:coreProperties>
</file>